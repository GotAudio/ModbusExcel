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dev\repos\Got\ModbusExcel\Documents\"/>
    </mc:Choice>
  </mc:AlternateContent>
  <bookViews>
    <workbookView xWindow="870" yWindow="825" windowWidth="13815" windowHeight="6825"/>
  </bookViews>
  <sheets>
    <sheet name="Polls" sheetId="1" r:id="rId1"/>
    <sheet name="LogLevels" sheetId="18" r:id="rId2"/>
  </sheets>
  <functionGroups builtInGroupCount="18"/>
  <definedNames>
    <definedName name="AESRdaList">#REF!</definedName>
    <definedName name="LogLevel">LogLevels!$B$18</definedName>
    <definedName name="PublishedRDA">#REF!</definedName>
    <definedName name="RDAMAP">#REF!</definedName>
    <definedName name="RDAREV">#REF!</definedName>
    <definedName name="RegDesc">#REF!</definedName>
    <definedName name="RegDescr">#REF!</definedName>
    <definedName name="TBL">#REF!</definedName>
    <definedName name="Validations">#REF!</definedName>
  </definedNames>
  <calcPr calcId="152511"/>
</workbook>
</file>

<file path=xl/calcChain.xml><?xml version="1.0" encoding="utf-8"?>
<calcChain xmlns="http://schemas.openxmlformats.org/spreadsheetml/2006/main">
  <c r="G17" i="1" l="1"/>
  <c r="H17" i="1" s="1"/>
  <c r="I17" i="1" s="1"/>
  <c r="J17" i="1" s="1"/>
  <c r="K17" i="1" s="1"/>
  <c r="L17" i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G18" i="1"/>
  <c r="H18" i="1"/>
  <c r="I18" i="1" s="1"/>
  <c r="J18" i="1" s="1"/>
  <c r="K18" i="1" s="1"/>
  <c r="L18" i="1" s="1"/>
  <c r="M18" i="1" s="1"/>
  <c r="N18" i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G19" i="1"/>
  <c r="H19" i="1"/>
  <c r="I19" i="1" s="1"/>
  <c r="J19" i="1"/>
  <c r="K19" i="1" s="1"/>
  <c r="L19" i="1" s="1"/>
  <c r="M19" i="1" s="1"/>
  <c r="N19" i="1" s="1"/>
  <c r="O19" i="1" s="1"/>
  <c r="P19" i="1"/>
  <c r="Q19" i="1" s="1"/>
  <c r="R19" i="1" s="1"/>
  <c r="S19" i="1" s="1"/>
  <c r="T19" i="1" s="1"/>
  <c r="U19" i="1" s="1"/>
  <c r="V19" i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G20" i="1"/>
  <c r="H20" i="1"/>
  <c r="I20" i="1"/>
  <c r="J20" i="1"/>
  <c r="K20" i="1" s="1"/>
  <c r="L20" i="1" s="1"/>
  <c r="M20" i="1" s="1"/>
  <c r="N20" i="1" s="1"/>
  <c r="O20" i="1" s="1"/>
  <c r="P20" i="1"/>
  <c r="Q20" i="1" s="1"/>
  <c r="R20" i="1" s="1"/>
  <c r="S20" i="1" s="1"/>
  <c r="T20" i="1" s="1"/>
  <c r="U20" i="1" s="1"/>
  <c r="V20" i="1" s="1"/>
  <c r="W20" i="1" s="1"/>
  <c r="X20" i="1" s="1"/>
  <c r="Y20" i="1" s="1"/>
  <c r="Z20" i="1" s="1"/>
  <c r="AA20" i="1" s="1"/>
  <c r="AB20" i="1" s="1"/>
  <c r="AC20" i="1" s="1"/>
  <c r="AD20" i="1" s="1"/>
  <c r="AE20" i="1" s="1"/>
  <c r="AF20" i="1" s="1"/>
  <c r="AG20" i="1" s="1"/>
  <c r="AH20" i="1" s="1"/>
  <c r="G21" i="1"/>
  <c r="H21" i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/>
  <c r="U21" i="1" s="1"/>
  <c r="V21" i="1" s="1"/>
  <c r="W21" i="1" s="1"/>
  <c r="X21" i="1" s="1"/>
  <c r="Y21" i="1" s="1"/>
  <c r="Z21" i="1"/>
  <c r="AA21" i="1" s="1"/>
  <c r="AB21" i="1" s="1"/>
  <c r="AC21" i="1" s="1"/>
  <c r="AD21" i="1" s="1"/>
  <c r="AE21" i="1" s="1"/>
  <c r="AF21" i="1" s="1"/>
  <c r="AG21" i="1" s="1"/>
  <c r="AH21" i="1" s="1"/>
  <c r="G22" i="1"/>
  <c r="H22" i="1"/>
  <c r="I22" i="1" s="1"/>
  <c r="J22" i="1" s="1"/>
  <c r="K22" i="1" s="1"/>
  <c r="L22" i="1" s="1"/>
  <c r="M22" i="1" s="1"/>
  <c r="N22" i="1"/>
  <c r="O22" i="1" s="1"/>
  <c r="P22" i="1" s="1"/>
  <c r="Q22" i="1" s="1"/>
  <c r="R22" i="1" s="1"/>
  <c r="S22" i="1" s="1"/>
  <c r="T22" i="1" s="1"/>
  <c r="U22" i="1" s="1"/>
  <c r="V22" i="1" s="1"/>
  <c r="W22" i="1" s="1"/>
  <c r="X22" i="1" s="1"/>
  <c r="Y22" i="1" s="1"/>
  <c r="Z22" i="1" s="1"/>
  <c r="AA22" i="1" s="1"/>
  <c r="AB22" i="1" s="1"/>
  <c r="AC22" i="1" s="1"/>
  <c r="AD22" i="1" s="1"/>
  <c r="AE22" i="1" s="1"/>
  <c r="AF22" i="1" s="1"/>
  <c r="AG22" i="1" s="1"/>
  <c r="AH22" i="1" s="1"/>
  <c r="G23" i="1"/>
  <c r="H23" i="1"/>
  <c r="I23" i="1"/>
  <c r="J23" i="1"/>
  <c r="K23" i="1" s="1"/>
  <c r="L23" i="1"/>
  <c r="M23" i="1" s="1"/>
  <c r="N23" i="1" s="1"/>
  <c r="O23" i="1" s="1"/>
  <c r="P23" i="1" s="1"/>
  <c r="Q23" i="1" s="1"/>
  <c r="R23" i="1" s="1"/>
  <c r="S23" i="1" s="1"/>
  <c r="T23" i="1" s="1"/>
  <c r="U23" i="1" s="1"/>
  <c r="V23" i="1" s="1"/>
  <c r="W23" i="1" s="1"/>
  <c r="X23" i="1"/>
  <c r="Y23" i="1" s="1"/>
  <c r="Z23" i="1" s="1"/>
  <c r="AA23" i="1" s="1"/>
  <c r="AB23" i="1" s="1"/>
  <c r="AC23" i="1" s="1"/>
  <c r="AD23" i="1"/>
  <c r="AE23" i="1" s="1"/>
  <c r="AF23" i="1" s="1"/>
  <c r="AG23" i="1" s="1"/>
  <c r="AH23" i="1" s="1"/>
  <c r="G24" i="1"/>
  <c r="H24" i="1"/>
  <c r="I24" i="1" s="1"/>
  <c r="J24" i="1" s="1"/>
  <c r="K24" i="1" s="1"/>
  <c r="L24" i="1"/>
  <c r="M24" i="1" s="1"/>
  <c r="N24" i="1" s="1"/>
  <c r="O24" i="1" s="1"/>
  <c r="P24" i="1" s="1"/>
  <c r="Q24" i="1" s="1"/>
  <c r="R24" i="1" s="1"/>
  <c r="S24" i="1" s="1"/>
  <c r="T24" i="1" s="1"/>
  <c r="U24" i="1" s="1"/>
  <c r="V24" i="1" s="1"/>
  <c r="W24" i="1" s="1"/>
  <c r="X24" i="1" s="1"/>
  <c r="Y24" i="1" s="1"/>
  <c r="Z24" i="1" s="1"/>
  <c r="AA24" i="1" s="1"/>
  <c r="AB24" i="1" s="1"/>
  <c r="AC24" i="1" s="1"/>
  <c r="AD24" i="1" s="1"/>
  <c r="AE24" i="1" s="1"/>
  <c r="AF24" i="1" s="1"/>
  <c r="AG24" i="1" s="1"/>
  <c r="AH24" i="1" s="1"/>
  <c r="G25" i="1"/>
  <c r="H25" i="1"/>
  <c r="I25" i="1" s="1"/>
  <c r="J25" i="1"/>
  <c r="K25" i="1" s="1"/>
  <c r="L25" i="1" s="1"/>
  <c r="M25" i="1" s="1"/>
  <c r="N25" i="1" s="1"/>
  <c r="O25" i="1" s="1"/>
  <c r="P25" i="1"/>
  <c r="Q25" i="1" s="1"/>
  <c r="R25" i="1" s="1"/>
  <c r="S25" i="1" s="1"/>
  <c r="T25" i="1" s="1"/>
  <c r="U25" i="1" s="1"/>
  <c r="V25" i="1" s="1"/>
  <c r="W25" i="1" s="1"/>
  <c r="X25" i="1" s="1"/>
  <c r="Y25" i="1" s="1"/>
  <c r="Z25" i="1" s="1"/>
  <c r="AA25" i="1" s="1"/>
  <c r="AB25" i="1" s="1"/>
  <c r="AC25" i="1" s="1"/>
  <c r="AD25" i="1" s="1"/>
  <c r="AE25" i="1" s="1"/>
  <c r="AF25" i="1" s="1"/>
  <c r="AG25" i="1" s="1"/>
  <c r="AH25" i="1" s="1"/>
  <c r="G26" i="1"/>
  <c r="H26" i="1"/>
  <c r="I26" i="1"/>
  <c r="J26" i="1"/>
  <c r="K26" i="1" s="1"/>
  <c r="L26" i="1" s="1"/>
  <c r="M26" i="1" s="1"/>
  <c r="N26" i="1" s="1"/>
  <c r="O26" i="1" s="1"/>
  <c r="P26" i="1" s="1"/>
  <c r="Q26" i="1" s="1"/>
  <c r="R26" i="1" s="1"/>
  <c r="S26" i="1" s="1"/>
  <c r="T26" i="1" s="1"/>
  <c r="U26" i="1" s="1"/>
  <c r="V26" i="1" s="1"/>
  <c r="W26" i="1" s="1"/>
  <c r="X26" i="1"/>
  <c r="Y26" i="1" s="1"/>
  <c r="Z26" i="1" s="1"/>
  <c r="AA26" i="1" s="1"/>
  <c r="AB26" i="1" s="1"/>
  <c r="AC26" i="1" s="1"/>
  <c r="AD26" i="1" s="1"/>
  <c r="AE26" i="1" s="1"/>
  <c r="AF26" i="1" s="1"/>
  <c r="AG26" i="1" s="1"/>
  <c r="AH26" i="1" s="1"/>
  <c r="G27" i="1"/>
  <c r="H27" i="1"/>
  <c r="I27" i="1" s="1"/>
  <c r="J27" i="1" s="1"/>
  <c r="K27" i="1"/>
  <c r="L27" i="1" s="1"/>
  <c r="M27" i="1" s="1"/>
  <c r="N27" i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G28" i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/>
  <c r="AA28" i="1" s="1"/>
  <c r="AB28" i="1" s="1"/>
  <c r="AC28" i="1" s="1"/>
  <c r="AD28" i="1" s="1"/>
  <c r="AE28" i="1" s="1"/>
  <c r="AF28" i="1" s="1"/>
  <c r="AG28" i="1" s="1"/>
  <c r="AH28" i="1" s="1"/>
  <c r="G29" i="1"/>
  <c r="H29" i="1"/>
  <c r="I29" i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AD29" i="1" s="1"/>
  <c r="AE29" i="1" s="1"/>
  <c r="AF29" i="1" s="1"/>
  <c r="AG29" i="1" s="1"/>
  <c r="AH29" i="1" s="1"/>
  <c r="G30" i="1"/>
  <c r="H30" i="1" s="1"/>
  <c r="I30" i="1" s="1"/>
  <c r="J30" i="1"/>
  <c r="K30" i="1" s="1"/>
  <c r="L30" i="1" s="1"/>
  <c r="M30" i="1" s="1"/>
  <c r="N30" i="1"/>
  <c r="O30" i="1" s="1"/>
  <c r="P30" i="1" s="1"/>
  <c r="Q30" i="1" s="1"/>
  <c r="R30" i="1" s="1"/>
  <c r="S30" i="1" s="1"/>
  <c r="T30" i="1" s="1"/>
  <c r="U30" i="1" s="1"/>
  <c r="V30" i="1" s="1"/>
  <c r="W30" i="1" s="1"/>
  <c r="X30" i="1" s="1"/>
  <c r="Y30" i="1"/>
  <c r="Z30" i="1" s="1"/>
  <c r="AA30" i="1" s="1"/>
  <c r="AB30" i="1" s="1"/>
  <c r="AC30" i="1" s="1"/>
  <c r="AD30" i="1" s="1"/>
  <c r="AE30" i="1" s="1"/>
  <c r="AF30" i="1" s="1"/>
  <c r="AG30" i="1" s="1"/>
  <c r="AH30" i="1" s="1"/>
  <c r="G31" i="1"/>
  <c r="H31" i="1"/>
  <c r="I31" i="1" s="1"/>
  <c r="J31" i="1"/>
  <c r="K31" i="1" s="1"/>
  <c r="L31" i="1"/>
  <c r="M31" i="1" s="1"/>
  <c r="N31" i="1" s="1"/>
  <c r="O31" i="1" s="1"/>
  <c r="P31" i="1" s="1"/>
  <c r="Q31" i="1" s="1"/>
  <c r="R31" i="1"/>
  <c r="S31" i="1" s="1"/>
  <c r="T31" i="1" s="1"/>
  <c r="U31" i="1" s="1"/>
  <c r="V31" i="1" s="1"/>
  <c r="W31" i="1" s="1"/>
  <c r="X31" i="1" s="1"/>
  <c r="Y31" i="1" s="1"/>
  <c r="Z31" i="1" s="1"/>
  <c r="AA31" i="1"/>
  <c r="AB31" i="1" s="1"/>
  <c r="AC31" i="1" s="1"/>
  <c r="AD31" i="1" s="1"/>
  <c r="AE31" i="1" s="1"/>
  <c r="AF31" i="1" s="1"/>
  <c r="AG31" i="1" s="1"/>
  <c r="AH31" i="1" s="1"/>
  <c r="G32" i="1"/>
  <c r="H32" i="1"/>
  <c r="I32" i="1" s="1"/>
  <c r="J32" i="1" s="1"/>
  <c r="K32" i="1" s="1"/>
  <c r="L32" i="1" s="1"/>
  <c r="M32" i="1" s="1"/>
  <c r="N32" i="1" s="1"/>
  <c r="O32" i="1" s="1"/>
  <c r="P32" i="1" s="1"/>
  <c r="Q32" i="1" s="1"/>
  <c r="R32" i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G33" i="1"/>
  <c r="H33" i="1"/>
  <c r="I33" i="1" s="1"/>
  <c r="J33" i="1" s="1"/>
  <c r="K33" i="1"/>
  <c r="L33" i="1" s="1"/>
  <c r="M33" i="1" s="1"/>
  <c r="N33" i="1" s="1"/>
  <c r="O33" i="1" s="1"/>
  <c r="P33" i="1" s="1"/>
  <c r="Q33" i="1" s="1"/>
  <c r="R33" i="1" s="1"/>
  <c r="S33" i="1" s="1"/>
  <c r="T33" i="1"/>
  <c r="U33" i="1" s="1"/>
  <c r="V33" i="1" s="1"/>
  <c r="W33" i="1" s="1"/>
  <c r="X33" i="1" s="1"/>
  <c r="Y33" i="1" s="1"/>
  <c r="Z33" i="1" s="1"/>
  <c r="AA33" i="1" s="1"/>
  <c r="AB33" i="1" s="1"/>
  <c r="AC33" i="1" s="1"/>
  <c r="AD33" i="1" s="1"/>
  <c r="AE33" i="1" s="1"/>
  <c r="AF33" i="1"/>
  <c r="AG33" i="1" s="1"/>
  <c r="AH33" i="1" s="1"/>
  <c r="G34" i="1"/>
  <c r="H34" i="1" s="1"/>
  <c r="I34" i="1"/>
  <c r="J34" i="1" s="1"/>
  <c r="K34" i="1" s="1"/>
  <c r="L34" i="1" s="1"/>
  <c r="M34" i="1" s="1"/>
  <c r="N34" i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G35" i="1"/>
  <c r="H35" i="1"/>
  <c r="I35" i="1"/>
  <c r="J35" i="1" s="1"/>
  <c r="K35" i="1"/>
  <c r="L35" i="1" s="1"/>
  <c r="M35" i="1" s="1"/>
  <c r="N35" i="1"/>
  <c r="O35" i="1" s="1"/>
  <c r="P35" i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G36" i="1"/>
  <c r="H36" i="1" s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G37" i="1"/>
  <c r="H37" i="1"/>
  <c r="I37" i="1" s="1"/>
  <c r="J37" i="1"/>
  <c r="K37" i="1" s="1"/>
  <c r="L37" i="1" s="1"/>
  <c r="M37" i="1" s="1"/>
  <c r="N37" i="1" s="1"/>
  <c r="O37" i="1" s="1"/>
  <c r="P37" i="1" s="1"/>
  <c r="Q37" i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G38" i="1"/>
  <c r="H38" i="1"/>
  <c r="I38" i="1" s="1"/>
  <c r="J38" i="1" s="1"/>
  <c r="K38" i="1" s="1"/>
  <c r="L38" i="1" s="1"/>
  <c r="M38" i="1" s="1"/>
  <c r="N38" i="1" s="1"/>
  <c r="O38" i="1" s="1"/>
  <c r="P38" i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G39" i="1"/>
  <c r="H39" i="1"/>
  <c r="I39" i="1"/>
  <c r="J39" i="1"/>
  <c r="K39" i="1" s="1"/>
  <c r="L39" i="1" s="1"/>
  <c r="M39" i="1" s="1"/>
  <c r="N39" i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G40" i="1"/>
  <c r="H40" i="1"/>
  <c r="I40" i="1" s="1"/>
  <c r="J40" i="1" s="1"/>
  <c r="K40" i="1"/>
  <c r="L40" i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G41" i="1"/>
  <c r="H41" i="1" s="1"/>
  <c r="I41" i="1" s="1"/>
  <c r="J41" i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G42" i="1"/>
  <c r="H42" i="1"/>
  <c r="I42" i="1"/>
  <c r="J42" i="1" s="1"/>
  <c r="K42" i="1" s="1"/>
  <c r="L42" i="1"/>
  <c r="M42" i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G43" i="1"/>
  <c r="H43" i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G44" i="1"/>
  <c r="H44" i="1"/>
  <c r="I44" i="1" s="1"/>
  <c r="J44" i="1"/>
  <c r="K44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G45" i="1"/>
  <c r="H45" i="1" s="1"/>
  <c r="I45" i="1" s="1"/>
  <c r="J45" i="1"/>
  <c r="K45" i="1" s="1"/>
  <c r="L45" i="1" s="1"/>
  <c r="M45" i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G46" i="1"/>
  <c r="H46" i="1"/>
  <c r="I46" i="1"/>
  <c r="J46" i="1"/>
  <c r="K46" i="1" s="1"/>
  <c r="L46" i="1"/>
  <c r="M46" i="1" s="1"/>
  <c r="N46" i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G47" i="1"/>
  <c r="H47" i="1" s="1"/>
  <c r="I47" i="1"/>
  <c r="J47" i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18" i="1"/>
  <c r="E19" i="1"/>
  <c r="E20" i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18" i="1"/>
  <c r="F17" i="1"/>
  <c r="C2" i="1"/>
  <c r="AZ22" i="1"/>
  <c r="BF33" i="1"/>
  <c r="BC36" i="1"/>
  <c r="BD17" i="1"/>
  <c r="BA19" i="1"/>
  <c r="AS41" i="1"/>
  <c r="AN37" i="1"/>
  <c r="BB38" i="1"/>
  <c r="BI43" i="1"/>
  <c r="BM35" i="1"/>
  <c r="BB19" i="1"/>
  <c r="AL25" i="1"/>
  <c r="BB20" i="1"/>
  <c r="AR37" i="1"/>
  <c r="AO47" i="1"/>
  <c r="AW26" i="1"/>
  <c r="BG41" i="1"/>
  <c r="BG31" i="1"/>
  <c r="BK33" i="1"/>
  <c r="BM47" i="1"/>
  <c r="BD23" i="1"/>
  <c r="AQ20" i="1"/>
  <c r="AZ35" i="1"/>
  <c r="AM45" i="1"/>
  <c r="BE40" i="1"/>
  <c r="AY35" i="1"/>
  <c r="AV27" i="1"/>
  <c r="AO26" i="1"/>
  <c r="AK34" i="1"/>
  <c r="AU21" i="1"/>
  <c r="AO19" i="1"/>
  <c r="AT20" i="1"/>
  <c r="AP31" i="1"/>
  <c r="AZ26" i="1"/>
  <c r="AK36" i="1"/>
  <c r="BK36" i="1"/>
  <c r="AM44" i="1"/>
  <c r="AU32" i="1"/>
  <c r="AR46" i="1"/>
  <c r="AO30" i="1"/>
  <c r="AU41" i="1"/>
  <c r="AJ28" i="1"/>
  <c r="BD46" i="1"/>
  <c r="AM29" i="1"/>
  <c r="AZ37" i="1"/>
  <c r="BE33" i="1"/>
  <c r="BI39" i="1"/>
  <c r="AT33" i="1"/>
  <c r="AT34" i="1"/>
  <c r="AJ29" i="1"/>
  <c r="AL35" i="1"/>
  <c r="AK21" i="1"/>
  <c r="AX26" i="1"/>
  <c r="AS18" i="1"/>
  <c r="BA23" i="1"/>
  <c r="AQ25" i="1"/>
  <c r="AO20" i="1"/>
  <c r="AP47" i="1"/>
  <c r="AL34" i="1"/>
  <c r="BI32" i="1"/>
  <c r="AO40" i="1"/>
  <c r="BD26" i="1"/>
  <c r="AQ40" i="1"/>
  <c r="BM37" i="1"/>
  <c r="AU29" i="1"/>
  <c r="BJ26" i="1"/>
  <c r="AY32" i="1"/>
  <c r="AZ44" i="1"/>
  <c r="BI24" i="1"/>
  <c r="BH42" i="1"/>
  <c r="BI47" i="1"/>
  <c r="AY45" i="1"/>
  <c r="BI38" i="1"/>
  <c r="AV33" i="1"/>
  <c r="BH46" i="1"/>
  <c r="BH44" i="1"/>
  <c r="AZ18" i="1"/>
  <c r="BJ19" i="1"/>
  <c r="AM47" i="1"/>
  <c r="BJ28" i="1"/>
  <c r="BC39" i="1"/>
  <c r="AL19" i="1"/>
  <c r="AP42" i="1"/>
  <c r="BA24" i="1"/>
  <c r="AT25" i="1"/>
  <c r="BM42" i="1"/>
  <c r="AU43" i="1"/>
  <c r="BD38" i="1"/>
  <c r="BG34" i="1"/>
  <c r="AN19" i="1"/>
  <c r="AU25" i="1"/>
  <c r="AR17" i="1"/>
  <c r="AP17" i="1"/>
  <c r="AX33" i="1"/>
  <c r="AV32" i="1"/>
  <c r="BH19" i="1"/>
  <c r="AS23" i="1"/>
  <c r="BJ47" i="1"/>
  <c r="BH40" i="1"/>
  <c r="AU17" i="1"/>
  <c r="AM31" i="1"/>
  <c r="BJ20" i="1"/>
  <c r="BI44" i="1"/>
  <c r="AT45" i="1"/>
  <c r="BK24" i="1"/>
  <c r="BK25" i="1"/>
  <c r="AJ33" i="1"/>
  <c r="AP22" i="1"/>
  <c r="AN23" i="1"/>
  <c r="AP34" i="1"/>
  <c r="AK45" i="1"/>
  <c r="BA34" i="1"/>
  <c r="BA37" i="1"/>
  <c r="BK42" i="1"/>
  <c r="BD34" i="1"/>
  <c r="BI21" i="1"/>
  <c r="AO31" i="1"/>
  <c r="BF24" i="1"/>
  <c r="AJ46" i="1"/>
  <c r="BM23" i="1"/>
  <c r="BF39" i="1"/>
  <c r="AV37" i="1"/>
  <c r="AY19" i="1"/>
  <c r="AX34" i="1"/>
  <c r="AS22" i="1"/>
  <c r="BH18" i="1"/>
  <c r="AN22" i="1"/>
  <c r="AM30" i="1"/>
  <c r="BC29" i="1"/>
  <c r="AZ25" i="1"/>
  <c r="AR23" i="1"/>
  <c r="BK29" i="1"/>
  <c r="AN34" i="1"/>
  <c r="AU39" i="1"/>
  <c r="AO38" i="1"/>
  <c r="AN44" i="1"/>
  <c r="BB33" i="1"/>
  <c r="BF43" i="1"/>
  <c r="AW42" i="1"/>
  <c r="AZ40" i="1"/>
  <c r="AZ45" i="1"/>
  <c r="AO35" i="1"/>
  <c r="BB23" i="1"/>
  <c r="BH34" i="1"/>
  <c r="AX18" i="1"/>
  <c r="AR34" i="1"/>
  <c r="AY39" i="1"/>
  <c r="AZ21" i="1"/>
  <c r="BE18" i="1"/>
  <c r="BM33" i="1"/>
  <c r="BH29" i="1"/>
  <c r="AY42" i="1"/>
  <c r="BD27" i="1"/>
  <c r="AJ18" i="1"/>
  <c r="AK35" i="1"/>
  <c r="BF22" i="1"/>
  <c r="AN27" i="1"/>
  <c r="BC27" i="1"/>
  <c r="BK21" i="1"/>
  <c r="AN33" i="1"/>
  <c r="BF23" i="1"/>
  <c r="AS47" i="1"/>
  <c r="BG29" i="1"/>
  <c r="BA36" i="1"/>
  <c r="AW30" i="1"/>
  <c r="BB21" i="1"/>
  <c r="BL23" i="1"/>
  <c r="BI26" i="1"/>
  <c r="AN31" i="1"/>
  <c r="AU45" i="1"/>
  <c r="BE36" i="1"/>
  <c r="BI46" i="1"/>
  <c r="AU40" i="1"/>
  <c r="BI23" i="1"/>
  <c r="AY31" i="1"/>
  <c r="BC19" i="1"/>
  <c r="AO27" i="1"/>
  <c r="AS37" i="1"/>
  <c r="BL47" i="1"/>
  <c r="BK32" i="1"/>
  <c r="AV26" i="1"/>
  <c r="BL34" i="1"/>
  <c r="AX44" i="1"/>
  <c r="BB34" i="1"/>
  <c r="BF45" i="1"/>
  <c r="AW41" i="1"/>
  <c r="AR33" i="1"/>
  <c r="AN32" i="1"/>
  <c r="BD28" i="1"/>
  <c r="AP25" i="1"/>
  <c r="BL30" i="1"/>
  <c r="BE28" i="1"/>
  <c r="BF40" i="1"/>
  <c r="BE27" i="1"/>
  <c r="AT29" i="1"/>
  <c r="BG39" i="1"/>
  <c r="AL32" i="1"/>
  <c r="BB39" i="1"/>
  <c r="BL20" i="1"/>
  <c r="AS34" i="1"/>
  <c r="BD21" i="1"/>
  <c r="AX17" i="1"/>
  <c r="AV25" i="1"/>
  <c r="AO45" i="1"/>
  <c r="AS32" i="1"/>
  <c r="AP18" i="1"/>
  <c r="AT24" i="1"/>
  <c r="AR29" i="1"/>
  <c r="AW37" i="1"/>
  <c r="AV41" i="1"/>
  <c r="AK33" i="1"/>
  <c r="AT47" i="1"/>
  <c r="AN45" i="1"/>
  <c r="BF18" i="1"/>
  <c r="AZ27" i="1"/>
  <c r="AJ41" i="1"/>
  <c r="BA44" i="1"/>
  <c r="BH43" i="1"/>
  <c r="BG32" i="1"/>
  <c r="BA25" i="1"/>
  <c r="AU30" i="1"/>
  <c r="BM31" i="1"/>
  <c r="AJ23" i="1"/>
  <c r="BD25" i="1"/>
  <c r="BI22" i="1"/>
  <c r="AX30" i="1"/>
  <c r="BE46" i="1"/>
  <c r="AL44" i="1"/>
  <c r="AJ17" i="1"/>
  <c r="BL28" i="1"/>
  <c r="AQ41" i="1"/>
  <c r="AL20" i="1"/>
  <c r="BC47" i="1"/>
  <c r="AT44" i="1"/>
  <c r="AU47" i="1"/>
  <c r="BC17" i="1"/>
  <c r="BG47" i="1"/>
  <c r="AL46" i="1"/>
  <c r="AQ19" i="1"/>
  <c r="BD19" i="1"/>
  <c r="AS29" i="1"/>
  <c r="BC46" i="1"/>
  <c r="AY27" i="1"/>
  <c r="AR26" i="1"/>
  <c r="BF21" i="1"/>
  <c r="AM42" i="1"/>
  <c r="AU38" i="1"/>
  <c r="AN47" i="1"/>
  <c r="BB18" i="1"/>
  <c r="BH33" i="1"/>
  <c r="AP30" i="1"/>
  <c r="AW40" i="1"/>
  <c r="BD31" i="1"/>
  <c r="BC22" i="1"/>
  <c r="AZ33" i="1"/>
  <c r="BG26" i="1"/>
  <c r="BI41" i="1"/>
  <c r="AJ47" i="1"/>
  <c r="BI25" i="1"/>
  <c r="AM18" i="1"/>
  <c r="BK18" i="1"/>
  <c r="AM43" i="1"/>
  <c r="AV35" i="1"/>
  <c r="AS45" i="1"/>
  <c r="AX36" i="1"/>
  <c r="BM17" i="1"/>
  <c r="AQ17" i="1"/>
  <c r="AQ46" i="1"/>
  <c r="AV28" i="1"/>
  <c r="AK18" i="1"/>
  <c r="AZ41" i="1"/>
  <c r="BB31" i="1"/>
  <c r="BH21" i="1"/>
  <c r="BC20" i="1"/>
  <c r="AP23" i="1"/>
  <c r="BM38" i="1"/>
  <c r="AM20" i="1"/>
  <c r="BA45" i="1"/>
  <c r="BA20" i="1"/>
  <c r="BC31" i="1"/>
  <c r="AP40" i="1"/>
  <c r="BM34" i="1"/>
  <c r="BF19" i="1"/>
  <c r="AP21" i="1"/>
  <c r="BK23" i="1"/>
  <c r="AN42" i="1"/>
  <c r="BK45" i="1"/>
  <c r="BD47" i="1"/>
  <c r="BI36" i="1"/>
  <c r="AW46" i="1"/>
  <c r="AZ28" i="1"/>
  <c r="AN35" i="1"/>
  <c r="AT31" i="1"/>
  <c r="BD42" i="1"/>
  <c r="AO29" i="1"/>
  <c r="BL38" i="1"/>
  <c r="AM46" i="1"/>
  <c r="AT18" i="1"/>
  <c r="BJ37" i="1"/>
  <c r="BA17" i="1"/>
  <c r="AV29" i="1"/>
  <c r="BH41" i="1"/>
  <c r="AZ19" i="1"/>
  <c r="BJ25" i="1"/>
  <c r="AY23" i="1"/>
  <c r="AW47" i="1"/>
  <c r="AT36" i="1"/>
  <c r="BJ35" i="1"/>
  <c r="AO41" i="1"/>
  <c r="AW27" i="1"/>
  <c r="BB27" i="1"/>
  <c r="BF25" i="1"/>
  <c r="BB26" i="1"/>
  <c r="AS36" i="1"/>
  <c r="AJ20" i="1"/>
  <c r="AS31" i="1"/>
  <c r="BG45" i="1"/>
  <c r="BI30" i="1"/>
  <c r="BM27" i="1"/>
  <c r="AZ29" i="1"/>
  <c r="AO28" i="1"/>
  <c r="AV20" i="1"/>
  <c r="AU23" i="1"/>
  <c r="AT46" i="1"/>
  <c r="AQ28" i="1"/>
  <c r="AT35" i="1"/>
  <c r="AU36" i="1"/>
  <c r="AP28" i="1"/>
  <c r="AQ45" i="1"/>
  <c r="BA35" i="1"/>
  <c r="AY40" i="1"/>
  <c r="AX37" i="1"/>
  <c r="AZ46" i="1"/>
  <c r="BI27" i="1"/>
  <c r="AV46" i="1"/>
  <c r="AK43" i="1"/>
  <c r="BJ36" i="1"/>
  <c r="BK27" i="1"/>
  <c r="BH24" i="1"/>
  <c r="AO34" i="1"/>
  <c r="BL46" i="1"/>
  <c r="AK27" i="1"/>
  <c r="BG44" i="1"/>
  <c r="BA21" i="1"/>
  <c r="BE26" i="1"/>
  <c r="AS24" i="1"/>
  <c r="AY46" i="1"/>
  <c r="AU20" i="1"/>
  <c r="AO39" i="1"/>
  <c r="BE32" i="1"/>
  <c r="AW28" i="1"/>
  <c r="AM33" i="1"/>
  <c r="BD29" i="1"/>
  <c r="BF17" i="1"/>
  <c r="AL18" i="1"/>
  <c r="AM23" i="1"/>
  <c r="BC26" i="1"/>
  <c r="AM36" i="1"/>
  <c r="BB29" i="1"/>
  <c r="BJ21" i="1"/>
  <c r="BB42" i="1"/>
  <c r="AN40" i="1"/>
  <c r="AP38" i="1"/>
  <c r="BA38" i="1"/>
  <c r="BJ42" i="1"/>
  <c r="AM26" i="1"/>
  <c r="AQ24" i="1"/>
  <c r="AL41" i="1"/>
  <c r="BM45" i="1"/>
  <c r="AW34" i="1"/>
  <c r="BC28" i="1"/>
  <c r="BH26" i="1"/>
  <c r="AW44" i="1"/>
  <c r="BL37" i="1"/>
  <c r="AR42" i="1"/>
  <c r="BJ38" i="1"/>
  <c r="BG22" i="1"/>
  <c r="BF27" i="1"/>
  <c r="AY26" i="1"/>
  <c r="AQ37" i="1"/>
  <c r="AK29" i="1"/>
  <c r="BM24" i="1"/>
  <c r="BI37" i="1"/>
  <c r="BD33" i="1"/>
  <c r="AZ36" i="1"/>
  <c r="AN28" i="1"/>
  <c r="AS27" i="1"/>
  <c r="BL32" i="1"/>
  <c r="AS17" i="1"/>
  <c r="BL36" i="1"/>
  <c r="AS42" i="1"/>
  <c r="BD39" i="1"/>
  <c r="BJ46" i="1"/>
  <c r="BB25" i="1"/>
  <c r="AQ47" i="1"/>
  <c r="AV22" i="1"/>
  <c r="AV30" i="1"/>
  <c r="AK25" i="1"/>
  <c r="BA31" i="1"/>
  <c r="AW25" i="1"/>
  <c r="BG37" i="1"/>
  <c r="AP24" i="1"/>
  <c r="BM29" i="1"/>
  <c r="BD18" i="1"/>
  <c r="BK37" i="1"/>
  <c r="BL44" i="1"/>
  <c r="BA18" i="1"/>
  <c r="AT40" i="1"/>
  <c r="AT32" i="1"/>
  <c r="AX28" i="1"/>
  <c r="BM36" i="1"/>
  <c r="AX47" i="1"/>
  <c r="BJ40" i="1"/>
  <c r="BH36" i="1"/>
  <c r="BB44" i="1"/>
  <c r="AL33" i="1"/>
  <c r="BD35" i="1"/>
  <c r="AR28" i="1"/>
  <c r="AV21" i="1"/>
  <c r="BA32" i="1"/>
  <c r="AJ40" i="1"/>
  <c r="AX45" i="1"/>
  <c r="BE20" i="1"/>
  <c r="BF37" i="1"/>
  <c r="BD45" i="1"/>
  <c r="BL21" i="1"/>
  <c r="AJ42" i="1"/>
  <c r="BA39" i="1"/>
  <c r="AZ43" i="1"/>
  <c r="BL43" i="1"/>
  <c r="AO18" i="1"/>
  <c r="AV31" i="1"/>
  <c r="AN21" i="1"/>
  <c r="AW32" i="1"/>
  <c r="BI42" i="1"/>
  <c r="BC24" i="1"/>
  <c r="AQ23" i="1"/>
  <c r="BM22" i="1"/>
  <c r="BH30" i="1"/>
  <c r="BJ44" i="1"/>
  <c r="AT27" i="1"/>
  <c r="AJ25" i="1"/>
  <c r="AS38" i="1"/>
  <c r="BI29" i="1"/>
  <c r="AS25" i="1"/>
  <c r="AP26" i="1"/>
  <c r="AZ31" i="1"/>
  <c r="AT39" i="1"/>
  <c r="BH23" i="1"/>
  <c r="AT42" i="1"/>
  <c r="AV47" i="1"/>
  <c r="AR31" i="1"/>
  <c r="AL17" i="1"/>
  <c r="AQ42" i="1"/>
  <c r="BG21" i="1"/>
  <c r="AX35" i="1"/>
  <c r="BC30" i="1"/>
  <c r="BB41" i="1"/>
  <c r="BB17" i="1"/>
  <c r="AN36" i="1"/>
  <c r="AP43" i="1"/>
  <c r="BJ39" i="1"/>
  <c r="BK43" i="1"/>
  <c r="AS26" i="1"/>
  <c r="BB40" i="1"/>
  <c r="AV18" i="1"/>
  <c r="BE43" i="1"/>
  <c r="AN43" i="1"/>
  <c r="AL24" i="1"/>
  <c r="AQ33" i="1"/>
  <c r="AV39" i="1"/>
  <c r="BC38" i="1"/>
  <c r="AJ24" i="1"/>
  <c r="AK20" i="1"/>
  <c r="AQ32" i="1"/>
  <c r="AJ26" i="1"/>
  <c r="AU19" i="1"/>
  <c r="BL42" i="1"/>
  <c r="AU28" i="1"/>
  <c r="AQ39" i="1"/>
  <c r="AR36" i="1"/>
  <c r="AW39" i="1"/>
  <c r="BF44" i="1"/>
  <c r="AM28" i="1"/>
  <c r="AX32" i="1"/>
  <c r="AJ27" i="1"/>
  <c r="AZ38" i="1"/>
  <c r="AT23" i="1"/>
  <c r="AX31" i="1"/>
  <c r="BH35" i="1"/>
  <c r="AY43" i="1"/>
  <c r="AO36" i="1"/>
  <c r="AM25" i="1"/>
  <c r="AQ38" i="1"/>
  <c r="BA46" i="1"/>
  <c r="AK22" i="1"/>
  <c r="BM18" i="1"/>
  <c r="BH45" i="1"/>
  <c r="AJ37" i="1"/>
  <c r="BK17" i="1"/>
  <c r="BG40" i="1"/>
  <c r="BE39" i="1"/>
  <c r="BB32" i="1"/>
  <c r="AT41" i="1"/>
  <c r="BI45" i="1"/>
  <c r="AO24" i="1"/>
  <c r="BI18" i="1"/>
  <c r="AY25" i="1"/>
  <c r="AL42" i="1"/>
  <c r="BD24" i="1"/>
  <c r="AU26" i="1"/>
  <c r="AW22" i="1"/>
  <c r="AM37" i="1"/>
  <c r="BF35" i="1"/>
  <c r="AT19" i="1"/>
  <c r="AX43" i="1"/>
  <c r="BC40" i="1"/>
  <c r="AV42" i="1"/>
  <c r="AO23" i="1"/>
  <c r="AL21" i="1"/>
  <c r="AK42" i="1"/>
  <c r="AM27" i="1"/>
  <c r="BG20" i="1"/>
  <c r="BG42" i="1"/>
  <c r="BD44" i="1"/>
  <c r="AZ32" i="1"/>
  <c r="BM19" i="1"/>
  <c r="AQ26" i="1"/>
  <c r="AY33" i="1"/>
  <c r="BF47" i="1"/>
  <c r="BB46" i="1"/>
  <c r="BC45" i="1"/>
  <c r="AP39" i="1"/>
  <c r="AK37" i="1"/>
  <c r="BA43" i="1"/>
  <c r="BA42" i="1"/>
  <c r="BG33" i="1"/>
  <c r="BA47" i="1"/>
  <c r="BC33" i="1"/>
  <c r="AM21" i="1"/>
  <c r="AO37" i="1"/>
  <c r="AL22" i="1"/>
  <c r="AJ44" i="1"/>
  <c r="AU42" i="1"/>
  <c r="AL36" i="1"/>
  <c r="AK32" i="1"/>
  <c r="AZ47" i="1"/>
  <c r="BK28" i="1"/>
  <c r="AX40" i="1"/>
  <c r="BM46" i="1"/>
  <c r="BI33" i="1"/>
  <c r="AU37" i="1"/>
  <c r="AX29" i="1"/>
  <c r="AX38" i="1"/>
  <c r="AV38" i="1"/>
  <c r="BM28" i="1"/>
  <c r="AO17" i="1"/>
  <c r="AR35" i="1"/>
  <c r="AJ35" i="1"/>
  <c r="BG43" i="1"/>
  <c r="BL45" i="1"/>
  <c r="AW19" i="1"/>
  <c r="AQ29" i="1"/>
  <c r="BE31" i="1"/>
  <c r="AZ23" i="1"/>
  <c r="AN26" i="1"/>
  <c r="AK46" i="1"/>
  <c r="BK41" i="1"/>
  <c r="AX39" i="1"/>
  <c r="AY17" i="1"/>
  <c r="AK23" i="1"/>
  <c r="BJ45" i="1"/>
  <c r="AP45" i="1"/>
  <c r="AR25" i="1"/>
  <c r="BF42" i="1"/>
  <c r="AY34" i="1"/>
  <c r="AR19" i="1"/>
  <c r="BG36" i="1"/>
  <c r="AR43" i="1"/>
  <c r="AP19" i="1"/>
  <c r="BG30" i="1"/>
  <c r="AR22" i="1"/>
  <c r="BE41" i="1"/>
  <c r="AK41" i="1"/>
  <c r="BJ27" i="1"/>
  <c r="AS39" i="1"/>
  <c r="BB47" i="1"/>
  <c r="BF28" i="1"/>
  <c r="AJ39" i="1"/>
  <c r="BE19" i="1"/>
  <c r="BB24" i="1"/>
  <c r="BC32" i="1"/>
  <c r="AN29" i="1"/>
  <c r="BE21" i="1"/>
  <c r="BH37" i="1"/>
  <c r="BF46" i="1"/>
  <c r="BB36" i="1"/>
  <c r="AQ27" i="1"/>
  <c r="AL27" i="1"/>
  <c r="AQ30" i="1"/>
  <c r="AW18" i="1"/>
  <c r="BK44" i="1"/>
  <c r="BG35" i="1"/>
  <c r="AJ30" i="1"/>
  <c r="AN30" i="1"/>
  <c r="AV24" i="1"/>
  <c r="AY24" i="1"/>
  <c r="AK24" i="1"/>
  <c r="BL40" i="1"/>
  <c r="AW21" i="1"/>
  <c r="BC23" i="1"/>
  <c r="BM25" i="1"/>
  <c r="BI40" i="1"/>
  <c r="BI17" i="1"/>
  <c r="BJ22" i="1"/>
  <c r="BK30" i="1"/>
  <c r="AS28" i="1"/>
  <c r="BL29" i="1"/>
  <c r="BD22" i="1"/>
  <c r="BG46" i="1"/>
  <c r="AR32" i="1"/>
  <c r="AM17" i="1"/>
  <c r="BJ34" i="1"/>
  <c r="BE22" i="1"/>
  <c r="BE17" i="1"/>
  <c r="BG23" i="1"/>
  <c r="BL26" i="1"/>
  <c r="AY22" i="1"/>
  <c r="AJ32" i="1"/>
  <c r="AR27" i="1"/>
  <c r="AT38" i="1"/>
  <c r="BK22" i="1"/>
  <c r="AZ39" i="1"/>
  <c r="BI34" i="1"/>
  <c r="AK39" i="1"/>
  <c r="AV40" i="1"/>
  <c r="AV17" i="1"/>
  <c r="AR21" i="1"/>
  <c r="BG17" i="1"/>
  <c r="AP20" i="1"/>
  <c r="BE25" i="1"/>
  <c r="AL39" i="1"/>
  <c r="BF41" i="1"/>
  <c r="BJ23" i="1"/>
  <c r="AS33" i="1"/>
  <c r="BE35" i="1"/>
  <c r="AT22" i="1"/>
  <c r="BF32" i="1"/>
  <c r="AV23" i="1"/>
  <c r="AK38" i="1"/>
  <c r="AZ34" i="1"/>
  <c r="AQ36" i="1"/>
  <c r="BH47" i="1"/>
  <c r="AO32" i="1"/>
  <c r="BB43" i="1"/>
  <c r="AW33" i="1"/>
  <c r="BL27" i="1"/>
  <c r="AS20" i="1"/>
  <c r="BG28" i="1"/>
  <c r="AT21" i="1"/>
  <c r="AX42" i="1"/>
  <c r="AW20" i="1"/>
  <c r="BH25" i="1"/>
  <c r="BA29" i="1"/>
  <c r="AU35" i="1"/>
  <c r="BF29" i="1"/>
  <c r="AR18" i="1"/>
  <c r="AP36" i="1"/>
  <c r="AR38" i="1"/>
  <c r="AP41" i="1"/>
  <c r="AM35" i="1"/>
  <c r="BC41" i="1"/>
  <c r="BK46" i="1"/>
  <c r="AP29" i="1"/>
  <c r="AK17" i="1"/>
  <c r="AU18" i="1"/>
  <c r="BM41" i="1"/>
  <c r="BK39" i="1"/>
  <c r="AK30" i="1"/>
  <c r="AW23" i="1"/>
  <c r="AY41" i="1"/>
  <c r="AM38" i="1"/>
  <c r="AL29" i="1"/>
  <c r="BI28" i="1"/>
  <c r="BD40" i="1"/>
  <c r="AQ18" i="1"/>
  <c r="AM24" i="1"/>
  <c r="AY30" i="1"/>
  <c r="AX23" i="1"/>
  <c r="BC37" i="1"/>
  <c r="AO21" i="1"/>
  <c r="BF26" i="1"/>
  <c r="AQ34" i="1"/>
  <c r="BE45" i="1"/>
  <c r="AO42" i="1"/>
  <c r="AN24" i="1"/>
  <c r="AL45" i="1"/>
  <c r="AP32" i="1"/>
  <c r="BJ17" i="1"/>
  <c r="AY36" i="1"/>
  <c r="BH20" i="1"/>
  <c r="BJ41" i="1"/>
  <c r="AU44" i="1"/>
  <c r="BJ30" i="1"/>
  <c r="BD20" i="1"/>
  <c r="BJ29" i="1"/>
  <c r="AL43" i="1"/>
  <c r="AL37" i="1"/>
  <c r="AY47" i="1"/>
  <c r="AP27" i="1"/>
  <c r="AY28" i="1"/>
  <c r="AR40" i="1"/>
  <c r="BB30" i="1"/>
  <c r="AY29" i="1"/>
  <c r="BH22" i="1"/>
  <c r="AU24" i="1"/>
  <c r="AT30" i="1"/>
  <c r="AL31" i="1"/>
  <c r="BE30" i="1"/>
  <c r="BD32" i="1"/>
  <c r="BH39" i="1"/>
  <c r="AM32" i="1"/>
  <c r="AY18" i="1"/>
  <c r="AX25" i="1"/>
  <c r="BG18" i="1"/>
  <c r="AJ38" i="1"/>
  <c r="AJ21" i="1"/>
  <c r="AN41" i="1"/>
  <c r="BC35" i="1"/>
  <c r="AZ17" i="1"/>
  <c r="AR20" i="1"/>
  <c r="BM21" i="1"/>
  <c r="BD43" i="1"/>
  <c r="BG19" i="1"/>
  <c r="BE47" i="1"/>
  <c r="BG38" i="1"/>
  <c r="BL35" i="1"/>
  <c r="BK40" i="1"/>
  <c r="BJ33" i="1"/>
  <c r="AS35" i="1"/>
  <c r="BK34" i="1"/>
  <c r="AM19" i="1"/>
  <c r="AP44" i="1"/>
  <c r="AS19" i="1"/>
  <c r="BB45" i="1"/>
  <c r="AJ22" i="1"/>
  <c r="BL39" i="1"/>
  <c r="AS30" i="1"/>
  <c r="AR41" i="1"/>
  <c r="AT26" i="1"/>
  <c r="AW35" i="1"/>
  <c r="AL47" i="1"/>
  <c r="AY38" i="1"/>
  <c r="BC44" i="1"/>
  <c r="BD37" i="1"/>
  <c r="AR24" i="1"/>
  <c r="AW24" i="1"/>
  <c r="AT37" i="1"/>
  <c r="AS46" i="1"/>
  <c r="AQ35" i="1"/>
  <c r="BM40" i="1"/>
  <c r="AU31" i="1"/>
  <c r="BE23" i="1"/>
  <c r="AP35" i="1"/>
  <c r="BM26" i="1"/>
  <c r="BM43" i="1"/>
  <c r="BG27" i="1"/>
  <c r="BL31" i="1"/>
  <c r="BL17" i="1"/>
  <c r="AJ34" i="1"/>
  <c r="AN39" i="1"/>
  <c r="BL33" i="1"/>
  <c r="AS40" i="1"/>
  <c r="AR39" i="1"/>
  <c r="AX27" i="1"/>
  <c r="AN20" i="1"/>
  <c r="BK26" i="1"/>
  <c r="BD36" i="1"/>
  <c r="AW36" i="1"/>
  <c r="BJ32" i="1"/>
  <c r="AY44" i="1"/>
  <c r="BH32" i="1"/>
  <c r="BA22" i="1"/>
  <c r="AM40" i="1"/>
  <c r="BJ24" i="1"/>
  <c r="BE24" i="1"/>
  <c r="BJ31" i="1"/>
  <c r="BC18" i="1"/>
  <c r="BI31" i="1"/>
  <c r="BA40" i="1"/>
  <c r="BF30" i="1"/>
  <c r="AJ45" i="1"/>
  <c r="AJ19" i="1"/>
  <c r="AX21" i="1"/>
  <c r="BH28" i="1"/>
  <c r="AL30" i="1"/>
  <c r="AO25" i="1"/>
  <c r="BF38" i="1"/>
  <c r="AW31" i="1"/>
  <c r="BB22" i="1"/>
  <c r="AL26" i="1"/>
  <c r="AM22" i="1"/>
  <c r="BM20" i="1"/>
  <c r="AL28" i="1"/>
  <c r="AN38" i="1"/>
  <c r="AK40" i="1"/>
  <c r="AR45" i="1"/>
  <c r="AK31" i="1"/>
  <c r="AX46" i="1"/>
  <c r="BI19" i="1"/>
  <c r="BF20" i="1"/>
  <c r="AZ30" i="1"/>
  <c r="BF31" i="1"/>
  <c r="AM39" i="1"/>
  <c r="BF36" i="1"/>
  <c r="AX20" i="1"/>
  <c r="BJ18" i="1"/>
  <c r="AM41" i="1"/>
  <c r="AT28" i="1"/>
  <c r="AV44" i="1"/>
  <c r="AT43" i="1"/>
  <c r="BC42" i="1"/>
  <c r="BM39" i="1"/>
  <c r="BE37" i="1"/>
  <c r="BH31" i="1"/>
  <c r="BK35" i="1"/>
  <c r="AK26" i="1"/>
  <c r="AU22" i="1"/>
  <c r="AY21" i="1"/>
  <c r="AW17" i="1"/>
  <c r="AX22" i="1"/>
  <c r="BK19" i="1"/>
  <c r="BM30" i="1"/>
  <c r="BH17" i="1"/>
  <c r="BC34" i="1"/>
  <c r="AS44" i="1"/>
  <c r="AQ22" i="1"/>
  <c r="BM32" i="1"/>
  <c r="BA41" i="1"/>
  <c r="BJ43" i="1"/>
  <c r="BL41" i="1"/>
  <c r="BL25" i="1"/>
  <c r="BB37" i="1"/>
  <c r="BK31" i="1"/>
  <c r="AQ21" i="1"/>
  <c r="BE29" i="1"/>
  <c r="AS21" i="1"/>
  <c r="BB35" i="1"/>
  <c r="AU46" i="1"/>
  <c r="AU34" i="1"/>
  <c r="AL40" i="1"/>
  <c r="AZ20" i="1"/>
  <c r="AW43" i="1"/>
  <c r="BI20" i="1"/>
  <c r="AO22" i="1"/>
  <c r="BH38" i="1"/>
  <c r="BL22" i="1"/>
  <c r="AR30" i="1"/>
  <c r="BK20" i="1"/>
  <c r="BL18" i="1"/>
  <c r="AX41" i="1"/>
  <c r="AQ31" i="1"/>
  <c r="AZ42" i="1"/>
  <c r="AP46" i="1"/>
  <c r="BC21" i="1"/>
  <c r="BG24" i="1"/>
  <c r="AY20" i="1"/>
  <c r="AJ31" i="1"/>
  <c r="BL19" i="1"/>
  <c r="AO44" i="1"/>
  <c r="AT17" i="1"/>
  <c r="AX19" i="1"/>
  <c r="AV34" i="1"/>
  <c r="AR47" i="1"/>
  <c r="AO33" i="1"/>
  <c r="BA26" i="1"/>
  <c r="BK38" i="1"/>
  <c r="AU33" i="1"/>
  <c r="AN46" i="1"/>
  <c r="AV43" i="1"/>
  <c r="AU27" i="1"/>
  <c r="AX24" i="1"/>
  <c r="BA28" i="1"/>
  <c r="AK19" i="1"/>
  <c r="BA33" i="1"/>
  <c r="AW45" i="1"/>
  <c r="BG25" i="1"/>
  <c r="AJ36" i="1"/>
  <c r="BD30" i="1"/>
  <c r="AQ44" i="1"/>
  <c r="BE38" i="1"/>
  <c r="AN18" i="1"/>
  <c r="BC43" i="1"/>
  <c r="AM34" i="1"/>
  <c r="BH27" i="1"/>
  <c r="BK47" i="1"/>
  <c r="BL24" i="1"/>
  <c r="AW29" i="1"/>
  <c r="BA30" i="1"/>
  <c r="AK44" i="1"/>
  <c r="AV36" i="1"/>
  <c r="BC25" i="1"/>
  <c r="AN17" i="1"/>
  <c r="AR44" i="1"/>
  <c r="BF34" i="1"/>
  <c r="AP33" i="1"/>
  <c r="AZ24" i="1"/>
  <c r="BE34" i="1"/>
  <c r="AQ43" i="1"/>
  <c r="AN25" i="1"/>
  <c r="BM44" i="1"/>
  <c r="AK47" i="1"/>
  <c r="AJ43" i="1"/>
  <c r="BD41" i="1"/>
  <c r="AL38" i="1"/>
  <c r="AP37" i="1"/>
  <c r="AO43" i="1"/>
  <c r="AL23" i="1"/>
  <c r="BI35" i="1"/>
  <c r="AK28" i="1"/>
  <c r="AS43" i="1"/>
  <c r="BE42" i="1"/>
  <c r="AV45" i="1"/>
  <c r="BB28" i="1"/>
  <c r="BE44" i="1"/>
  <c r="AO46" i="1"/>
  <c r="BA27" i="1"/>
  <c r="AV19" i="1"/>
  <c r="AW38" i="1"/>
  <c r="AY37" i="1"/>
  <c r="B18" i="18" l="1"/>
  <c r="C7" i="1"/>
  <c r="C3" i="1"/>
  <c r="A4" i="18" l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C15" i="1"/>
  <c r="C6" i="1"/>
  <c r="C5" i="1"/>
  <c r="C8" i="1"/>
  <c r="C9" i="1"/>
  <c r="A3" i="18" l="1"/>
  <c r="C12" i="1"/>
  <c r="C14" i="1"/>
  <c r="C11" i="1"/>
  <c r="C10" i="1"/>
  <c r="C4" i="1"/>
  <c r="C13" i="1"/>
</calcChain>
</file>

<file path=xl/sharedStrings.xml><?xml version="1.0" encoding="utf-8"?>
<sst xmlns="http://schemas.openxmlformats.org/spreadsheetml/2006/main" count="107" uniqueCount="105">
  <si>
    <t>Unit</t>
  </si>
  <si>
    <t>Excel Update Rate (Default=2000ms)</t>
  </si>
  <si>
    <t>Poll Rate (-1=Disabled,0=Once, n=ms)</t>
  </si>
  <si>
    <t>Delete Cached Values (True, False)</t>
  </si>
  <si>
    <t>Info:Topic Count</t>
  </si>
  <si>
    <t>Info:Connections</t>
  </si>
  <si>
    <t>Info:Sent/Received</t>
  </si>
  <si>
    <t>Socket timeout (Default=10000ms)</t>
  </si>
  <si>
    <t>Connection (PerRegister/PerDevice)</t>
  </si>
  <si>
    <t>Enable</t>
  </si>
  <si>
    <t>Length</t>
  </si>
  <si>
    <t>Modbus Tools for Excel  (V.082512.1)</t>
  </si>
  <si>
    <t>127.0.0.1</t>
  </si>
  <si>
    <t>Connect Status</t>
  </si>
  <si>
    <t>Errors</t>
  </si>
  <si>
    <t>RefreshData()</t>
  </si>
  <si>
    <t xml:space="preserve">Hex Output    </t>
  </si>
  <si>
    <t>StateInfo+Stats+Data</t>
  </si>
  <si>
    <t>StateInfo+Stats</t>
  </si>
  <si>
    <t>StateInfo+Data</t>
  </si>
  <si>
    <t>Read Request</t>
  </si>
  <si>
    <t>Response Received</t>
  </si>
  <si>
    <t>Connect/Disconnect</t>
  </si>
  <si>
    <t>Server Start/Stop</t>
  </si>
  <si>
    <t>Other Topic Register</t>
  </si>
  <si>
    <t>Config Topic Register</t>
  </si>
  <si>
    <t>Port</t>
  </si>
  <si>
    <t>Info: Connections Pending</t>
  </si>
  <si>
    <t>MaxConnectionsPending</t>
  </si>
  <si>
    <t>Info: Reads Pending</t>
  </si>
  <si>
    <t>MaxPendingReads</t>
  </si>
  <si>
    <t>Min Connections Before Read</t>
  </si>
  <si>
    <t>Simulate (0=No,-1=Con,1=Inc)</t>
  </si>
  <si>
    <t>Synchronous Read, Async Connect (Default is Async Read and Async Connect)</t>
  </si>
  <si>
    <t>Publish Raw data to MSMQ (You can change the QueueName in RTD.cs.  See CLR functions to save to SQL tables (remind me if I forget to publish them)</t>
  </si>
  <si>
    <t>LogLevel</t>
  </si>
  <si>
    <t>1=File Log Enabled, 0=File Log Disabled</t>
  </si>
  <si>
    <t>PerDevice</t>
  </si>
  <si>
    <t>Usage:[=RTD("modbusexcel.rtd",,HOST,UNIT,IF(ENABLE="n","D",MODICON),ADDRESS,LENGTH,PERxxxx,PORT)]</t>
  </si>
  <si>
    <t>LogLevels bitmasks (see ModbusExcel\NLog.config for output file name). Change column B to change logging flags</t>
  </si>
  <si>
    <t xml:space="preserve">                  Click Red circle to start. Click Green circle to stop.</t>
  </si>
  <si>
    <t>Y</t>
  </si>
  <si>
    <t>IP Address</t>
  </si>
  <si>
    <t>Modicon (Y/N/D)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</si>
  <si>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</si>
  <si>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</si>
  <si>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</si>
  <si>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</si>
  <si>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</si>
  <si>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</si>
  <si>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</si>
  <si>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</si>
  <si>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</si>
  <si>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</si>
  <si>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</si>
  <si>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</si>
  <si>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</si>
  <si>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</si>
  <si>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</si>
  <si>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</si>
  <si>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</si>
  <si>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</si>
  <si>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</si>
  <si>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</si>
  <si>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</si>
  <si>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</si>
  <si>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</si>
  <si>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</si>
  <si>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</si>
  <si>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</si>
  <si>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</si>
  <si>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</si>
  <si>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</si>
  <si>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</si>
  <si>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V1</t>
  </si>
  <si>
    <t>V2</t>
  </si>
  <si>
    <t>V3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</si>
  <si>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</si>
  <si>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</si>
  <si>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</si>
  <si>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</si>
  <si>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</si>
  <si>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</si>
  <si>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</si>
  <si>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</si>
  <si>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</si>
  <si>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</si>
  <si>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</si>
  <si>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</si>
  <si>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</si>
  <si>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</si>
  <si>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</si>
  <si>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</si>
  <si>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</si>
  <si>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</si>
  <si>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</si>
  <si>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</si>
  <si>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</si>
  <si>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</si>
  <si>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</si>
  <si>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</si>
  <si>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</si>
  <si>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</si>
  <si>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'Usage:[=RTD("modbusexcel.rtd",,HOST,UNIT,IF(ENABLE="n","D",MODICON),ADDRESS,LENGTH,PERxxxx,PORT)]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</si>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</sst>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indexed="1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90"/>
      <name val="Arial"/>
      <family val="2"/>
    </font>
    <font>
      <sz val="9"/>
      <color theme="1"/>
      <name val="Calibri"/>
      <family val="2"/>
    </font>
    <font>
      <b/>
      <sz val="10"/>
      <color theme="1" tint="0.34998626667073579"/>
      <name val="Calibri"/>
      <family val="2"/>
      <scheme val="minor"/>
    </font>
    <font>
      <sz val="8"/>
      <color theme="5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5">
    <xf numFmtId="0" fontId="0" fillId="0" borderId="0"/>
    <xf numFmtId="0" fontId="4" fillId="3" borderId="2" applyNumberFormat="0" applyFont="0" applyAlignment="0" applyProtection="0"/>
    <xf numFmtId="0" fontId="6" fillId="6" borderId="3" applyNumberForma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2" fillId="0" borderId="0" xfId="0" applyFont="1" applyAlignment="1">
      <alignment vertical="top"/>
    </xf>
    <xf numFmtId="0" fontId="0" fillId="0" borderId="0" xfId="0"/>
    <xf numFmtId="0" fontId="3" fillId="5" borderId="1" xfId="0" applyFont="1" applyFill="1" applyBorder="1"/>
    <xf numFmtId="0" fontId="3" fillId="0" borderId="1" xfId="0" applyFont="1" applyBorder="1" applyAlignment="1">
      <alignment horizontal="right"/>
    </xf>
    <xf numFmtId="0" fontId="3" fillId="0" borderId="0" xfId="0" quotePrefix="1" applyFont="1"/>
    <xf numFmtId="0" fontId="3" fillId="0" borderId="4" xfId="0" applyFont="1" applyBorder="1" applyAlignment="1">
      <alignment horizontal="right"/>
    </xf>
    <xf numFmtId="0" fontId="5" fillId="4" borderId="6" xfId="0" applyFont="1" applyFill="1" applyBorder="1" applyAlignment="1">
      <alignment horizontal="left"/>
    </xf>
    <xf numFmtId="0" fontId="6" fillId="6" borderId="1" xfId="2" applyBorder="1" applyAlignment="1">
      <alignment horizontal="left"/>
    </xf>
    <xf numFmtId="0" fontId="0" fillId="0" borderId="0" xfId="0" applyFill="1"/>
    <xf numFmtId="0" fontId="0" fillId="7" borderId="7" xfId="0" applyFill="1" applyBorder="1"/>
    <xf numFmtId="0" fontId="0" fillId="8" borderId="0" xfId="0" applyFill="1"/>
    <xf numFmtId="0" fontId="7" fillId="0" borderId="0" xfId="0" applyFont="1"/>
    <xf numFmtId="0" fontId="7" fillId="3" borderId="2" xfId="1" applyFont="1"/>
    <xf numFmtId="0" fontId="3" fillId="8" borderId="1" xfId="0" applyFont="1" applyFill="1" applyBorder="1" applyAlignment="1">
      <alignment horizontal="right"/>
    </xf>
    <xf numFmtId="0" fontId="0" fillId="5" borderId="0" xfId="0" applyFill="1"/>
    <xf numFmtId="0" fontId="0" fillId="9" borderId="0" xfId="0" applyFill="1"/>
    <xf numFmtId="0" fontId="0" fillId="10" borderId="0" xfId="0" applyFill="1"/>
    <xf numFmtId="0" fontId="6" fillId="6" borderId="1" xfId="2" applyBorder="1"/>
    <xf numFmtId="0" fontId="8" fillId="0" borderId="0" xfId="0" quotePrefix="1" applyFont="1"/>
    <xf numFmtId="0" fontId="0" fillId="0" borderId="1" xfId="0" applyBorder="1" applyAlignment="1">
      <alignment horizontal="center"/>
    </xf>
    <xf numFmtId="0" fontId="9" fillId="0" borderId="5" xfId="0" applyFont="1" applyBorder="1"/>
    <xf numFmtId="0" fontId="9" fillId="0" borderId="5" xfId="0" applyFont="1" applyBorder="1" applyAlignment="1">
      <alignment horizontal="right"/>
    </xf>
    <xf numFmtId="0" fontId="9" fillId="0" borderId="0" xfId="0" applyFont="1"/>
    <xf numFmtId="49" fontId="11" fillId="0" borderId="0" xfId="0" applyNumberFormat="1" applyFont="1"/>
    <xf numFmtId="0" fontId="12" fillId="0" borderId="1" xfId="0" applyFont="1" applyBorder="1" applyAlignment="1">
      <alignment horizontal="right"/>
    </xf>
    <xf numFmtId="1" fontId="0" fillId="0" borderId="0" xfId="0" applyNumberFormat="1"/>
    <xf numFmtId="0" fontId="13" fillId="6" borderId="0" xfId="2" applyFont="1" applyBorder="1"/>
    <xf numFmtId="0" fontId="9" fillId="12" borderId="0" xfId="4" applyFont="1"/>
    <xf numFmtId="1" fontId="9" fillId="12" borderId="0" xfId="4" applyNumberFormat="1" applyFont="1"/>
    <xf numFmtId="0" fontId="9" fillId="12" borderId="0" xfId="4" applyFont="1" applyAlignment="1">
      <alignment horizontal="right"/>
    </xf>
    <xf numFmtId="0" fontId="9" fillId="11" borderId="9" xfId="3" applyFont="1" applyBorder="1"/>
    <xf numFmtId="0" fontId="9" fillId="2" borderId="10" xfId="3" applyFont="1" applyFill="1" applyBorder="1"/>
    <xf numFmtId="1" fontId="9" fillId="2" borderId="0" xfId="0" applyNumberFormat="1" applyFont="1" applyFill="1"/>
    <xf numFmtId="0" fontId="9" fillId="2" borderId="0" xfId="0" applyFont="1" applyFill="1"/>
    <xf numFmtId="0" fontId="9" fillId="0" borderId="0" xfId="0" applyFont="1" applyBorder="1"/>
    <xf numFmtId="1" fontId="9" fillId="0" borderId="0" xfId="0" applyNumberFormat="1" applyFont="1"/>
    <xf numFmtId="0" fontId="14" fillId="0" borderId="5" xfId="0" applyFont="1" applyBorder="1" applyAlignment="1">
      <alignment horizontal="right"/>
    </xf>
    <xf numFmtId="0" fontId="3" fillId="2" borderId="4" xfId="0" applyFont="1" applyFill="1" applyBorder="1" applyAlignment="1"/>
    <xf numFmtId="0" fontId="0" fillId="0" borderId="8" xfId="0" applyBorder="1" applyAlignment="1"/>
    <xf numFmtId="0" fontId="3" fillId="5" borderId="4" xfId="0" applyFont="1" applyFill="1" applyBorder="1" applyAlignment="1"/>
  </cellXfs>
  <cellStyles count="5">
    <cellStyle name="20% - Accent1" xfId="3" builtinId="30"/>
    <cellStyle name="40% - Accent1" xfId="4" builtinId="31"/>
    <cellStyle name="Calculation" xfId="2" builtinId="22"/>
    <cellStyle name="Normal" xfId="0" builtinId="0"/>
    <cellStyle name="Note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dbusexcel.rtd">
      <tp>
        <v>-1</v>
        <stp/>
        <stp>ConnectionCount</stp>
        <stp/>
        <stp/>
        <stp/>
        <stp/>
        <stp/>
        <tr r="C13" s="1"/>
      </tp>
      <tp>
        <v>-1</v>
        <stp/>
        <stp>minconnections</stp>
        <stp>-1</stp>
        <stp/>
        <stp/>
        <stp/>
        <tr r="C7" s="1"/>
      </tp>
      <tp t="s">
        <v>False</v>
        <stp/>
        <stp>DeleteCachedValues</stp>
        <stp>false</stp>
        <stp/>
        <stp/>
        <stp/>
        <tr r="C5" s="1"/>
      </tp>
      <tp>
        <v>180000</v>
        <stp/>
        <stp>SocketTimeout</stp>
        <stp>180000</stp>
        <stp/>
        <stp/>
        <stp/>
        <tr r="C4" s="1"/>
      </tp>
      <tp>
        <v>0</v>
        <stp/>
        <stp>ConnectionPending</stp>
        <stp/>
        <stp/>
        <stp/>
        <stp/>
        <stp/>
        <tr r="C12" s="1"/>
      </tp>
      <tp>
        <v>-1</v>
        <stp/>
        <stp>maxqueue</stp>
        <stp>-1</stp>
        <stp/>
        <stp/>
        <stp/>
        <tr r="C8" s="1"/>
      </tp>
      <tp>
        <v>2000</v>
        <stp/>
        <stp>ExcelUpdateRate</stp>
        <stp>2000</stp>
        <stp/>
        <stp/>
        <stp/>
        <tr r="C3" s="1"/>
      </tp>
      <tp>
        <v>300000</v>
        <stp/>
        <stp>maxread</stp>
        <stp>300000</stp>
        <stp/>
        <stp/>
        <stp/>
        <tr r="C6" s="1"/>
      </tp>
      <tp>
        <v>0</v>
        <stp/>
        <stp>simulate</stp>
        <stp>0</stp>
        <stp/>
        <stp/>
        <stp/>
        <tr r="C9" s="1"/>
      </tp>
      <tp t="e">
        <v>#N/A</v>
        <stp/>
        <stp>PollRate</stp>
        <stp>1000</stp>
        <stp/>
        <stp/>
        <stp/>
        <tr r="C2" s="1"/>
      </tp>
      <tp t="s">
        <v>33606/33534</v>
        <stp/>
        <stp>SendReceiveCount</stp>
        <stp/>
        <stp/>
        <stp/>
        <stp/>
        <stp/>
        <tr r="C14" s="1"/>
      </tp>
      <tp t="s">
        <v>60</v>
        <stp/>
        <stp>127.0.0.1</stp>
        <stp>1</stp>
        <stp>N</stp>
        <stp>40899</stp>
        <stp>1</stp>
        <stp>PerDevice</stp>
        <stp>502</stp>
        <tr r="BL19" s="1"/>
      </tp>
      <tp t="s">
        <v>60</v>
        <stp/>
        <stp>127.0.0.1</stp>
        <stp>1</stp>
        <stp>N</stp>
        <stp>40898</stp>
        <stp>1</stp>
        <stp>PerDevice</stp>
        <stp>502</stp>
        <tr r="BL18" s="1"/>
      </tp>
      <tp t="s">
        <v>87</v>
        <stp/>
        <stp>127.0.0.1</stp>
        <stp>1</stp>
        <stp>N</stp>
        <stp>40893</stp>
        <stp>1</stp>
        <stp>PerDevice</stp>
        <stp>502</stp>
        <tr r="BK45" s="1"/>
      </tp>
      <tp t="s">
        <v>87</v>
        <stp/>
        <stp>127.0.0.1</stp>
        <stp>1</stp>
        <stp>N</stp>
        <stp>40892</stp>
        <stp>1</stp>
        <stp>PerDevice</stp>
        <stp>502</stp>
        <tr r="BK44" s="1"/>
      </tp>
      <tp t="s">
        <v>87</v>
        <stp/>
        <stp>127.0.0.1</stp>
        <stp>1</stp>
        <stp>N</stp>
        <stp>40891</stp>
        <stp>1</stp>
        <stp>PerDevice</stp>
        <stp>502</stp>
        <tr r="BK43" s="1"/>
      </tp>
      <tp t="s">
        <v>87</v>
        <stp/>
        <stp>127.0.0.1</stp>
        <stp>1</stp>
        <stp>N</stp>
        <stp>40890</stp>
        <stp>1</stp>
        <stp>PerDevice</stp>
        <stp>502</stp>
        <tr r="BK42" s="1"/>
      </tp>
      <tp t="s">
        <v>60</v>
        <stp/>
        <stp>127.0.0.1</stp>
        <stp>1</stp>
        <stp>N</stp>
        <stp>40897</stp>
        <stp>1</stp>
        <stp>PerDevice</stp>
        <stp>502</stp>
        <tr r="BL17" s="1"/>
      </tp>
      <tp t="s">
        <v>87</v>
        <stp/>
        <stp>127.0.0.1</stp>
        <stp>1</stp>
        <stp>N</stp>
        <stp>40895</stp>
        <stp>1</stp>
        <stp>PerDevice</stp>
        <stp>502</stp>
        <tr r="BK47" s="1"/>
      </tp>
      <tp t="s">
        <v>87</v>
        <stp/>
        <stp>127.0.0.1</stp>
        <stp>1</stp>
        <stp>N</stp>
        <stp>40894</stp>
        <stp>1</stp>
        <stp>PerDevice</stp>
        <stp>502</stp>
        <tr r="BK46" s="1"/>
      </tp>
      <tp t="s">
        <v>84</v>
        <stp/>
        <stp>127.0.0.1</stp>
        <stp>1</stp>
        <stp>N</stp>
        <stp>40889</stp>
        <stp>1</stp>
        <stp>PerDevice</stp>
        <stp>502</stp>
        <tr r="BK41" s="1"/>
      </tp>
      <tp t="s">
        <v>84</v>
        <stp/>
        <stp>127.0.0.1</stp>
        <stp>1</stp>
        <stp>N</stp>
        <stp>40888</stp>
        <stp>1</stp>
        <stp>PerDevice</stp>
        <stp>502</stp>
        <tr r="BK40" s="1"/>
      </tp>
      <tp t="s">
        <v>84</v>
        <stp/>
        <stp>127.0.0.1</stp>
        <stp>1</stp>
        <stp>N</stp>
        <stp>40883</stp>
        <stp>1</stp>
        <stp>PerDevice</stp>
        <stp>502</stp>
        <tr r="BK35" s="1"/>
      </tp>
      <tp t="s">
        <v>84</v>
        <stp/>
        <stp>127.0.0.1</stp>
        <stp>1</stp>
        <stp>N</stp>
        <stp>40882</stp>
        <stp>1</stp>
        <stp>PerDevice</stp>
        <stp>502</stp>
        <tr r="BK34" s="1"/>
      </tp>
      <tp t="s">
        <v>84</v>
        <stp/>
        <stp>127.0.0.1</stp>
        <stp>1</stp>
        <stp>N</stp>
        <stp>40881</stp>
        <stp>1</stp>
        <stp>PerDevice</stp>
        <stp>502</stp>
        <tr r="BK33" s="1"/>
      </tp>
      <tp t="s">
        <v>84</v>
        <stp/>
        <stp>127.0.0.1</stp>
        <stp>1</stp>
        <stp>N</stp>
        <stp>40880</stp>
        <stp>1</stp>
        <stp>PerDevice</stp>
        <stp>502</stp>
        <tr r="BK32" s="1"/>
      </tp>
      <tp t="s">
        <v>84</v>
        <stp/>
        <stp>127.0.0.1</stp>
        <stp>1</stp>
        <stp>N</stp>
        <stp>40887</stp>
        <stp>1</stp>
        <stp>PerDevice</stp>
        <stp>502</stp>
        <tr r="BK39" s="1"/>
      </tp>
      <tp t="s">
        <v>84</v>
        <stp/>
        <stp>127.0.0.1</stp>
        <stp>1</stp>
        <stp>N</stp>
        <stp>40886</stp>
        <stp>1</stp>
        <stp>PerDevice</stp>
        <stp>502</stp>
        <tr r="BK38" s="1"/>
      </tp>
      <tp t="s">
        <v>84</v>
        <stp/>
        <stp>127.0.0.1</stp>
        <stp>1</stp>
        <stp>N</stp>
        <stp>40885</stp>
        <stp>1</stp>
        <stp>PerDevice</stp>
        <stp>502</stp>
        <tr r="BK37" s="1"/>
      </tp>
      <tp t="s">
        <v>84</v>
        <stp/>
        <stp>127.0.0.1</stp>
        <stp>1</stp>
        <stp>N</stp>
        <stp>40884</stp>
        <stp>1</stp>
        <stp>PerDevice</stp>
        <stp>502</stp>
        <tr r="BK36" s="1"/>
      </tp>
      <tp t="s">
        <v>87</v>
        <stp/>
        <stp>127.0.0.1</stp>
        <stp>1</stp>
        <stp>N</stp>
        <stp>40879</stp>
        <stp>1</stp>
        <stp>PerDevice</stp>
        <stp>502</stp>
        <tr r="BK31" s="1"/>
      </tp>
      <tp t="s">
        <v>87</v>
        <stp/>
        <stp>127.0.0.1</stp>
        <stp>1</stp>
        <stp>N</stp>
        <stp>40878</stp>
        <stp>1</stp>
        <stp>PerDevice</stp>
        <stp>502</stp>
        <tr r="BK30" s="1"/>
      </tp>
      <tp t="s">
        <v>84</v>
        <stp/>
        <stp>127.0.0.1</stp>
        <stp>1</stp>
        <stp>N</stp>
        <stp>40873</stp>
        <stp>1</stp>
        <stp>PerDevice</stp>
        <stp>502</stp>
        <tr r="BK25" s="1"/>
      </tp>
      <tp t="s">
        <v>84</v>
        <stp/>
        <stp>127.0.0.1</stp>
        <stp>1</stp>
        <stp>N</stp>
        <stp>40872</stp>
        <stp>1</stp>
        <stp>PerDevice</stp>
        <stp>502</stp>
        <tr r="BK24" s="1"/>
      </tp>
      <tp t="s">
        <v>84</v>
        <stp/>
        <stp>127.0.0.1</stp>
        <stp>1</stp>
        <stp>N</stp>
        <stp>40871</stp>
        <stp>1</stp>
        <stp>PerDevice</stp>
        <stp>502</stp>
        <tr r="BK23" s="1"/>
      </tp>
      <tp t="s">
        <v>84</v>
        <stp/>
        <stp>127.0.0.1</stp>
        <stp>1</stp>
        <stp>N</stp>
        <stp>40870</stp>
        <stp>1</stp>
        <stp>PerDevice</stp>
        <stp>502</stp>
        <tr r="BK22" s="1"/>
      </tp>
      <tp t="s">
        <v>87</v>
        <stp/>
        <stp>127.0.0.1</stp>
        <stp>1</stp>
        <stp>N</stp>
        <stp>40877</stp>
        <stp>1</stp>
        <stp>PerDevice</stp>
        <stp>502</stp>
        <tr r="BK29" s="1"/>
      </tp>
      <tp t="s">
        <v>87</v>
        <stp/>
        <stp>127.0.0.1</stp>
        <stp>1</stp>
        <stp>N</stp>
        <stp>40876</stp>
        <stp>1</stp>
        <stp>PerDevice</stp>
        <stp>502</stp>
        <tr r="BK28" s="1"/>
      </tp>
      <tp t="s">
        <v>84</v>
        <stp/>
        <stp>127.0.0.1</stp>
        <stp>1</stp>
        <stp>N</stp>
        <stp>40875</stp>
        <stp>1</stp>
        <stp>PerDevice</stp>
        <stp>502</stp>
        <tr r="BK27" s="1"/>
      </tp>
      <tp t="s">
        <v>84</v>
        <stp/>
        <stp>127.0.0.1</stp>
        <stp>1</stp>
        <stp>N</stp>
        <stp>40874</stp>
        <stp>1</stp>
        <stp>PerDevice</stp>
        <stp>502</stp>
        <tr r="BK26" s="1"/>
      </tp>
      <tp t="s">
        <v>84</v>
        <stp/>
        <stp>127.0.0.1</stp>
        <stp>1</stp>
        <stp>N</stp>
        <stp>40869</stp>
        <stp>1</stp>
        <stp>PerDevice</stp>
        <stp>502</stp>
        <tr r="BK21" s="1"/>
      </tp>
      <tp t="s">
        <v>84</v>
        <stp/>
        <stp>127.0.0.1</stp>
        <stp>1</stp>
        <stp>N</stp>
        <stp>40868</stp>
        <stp>1</stp>
        <stp>PerDevice</stp>
        <stp>502</stp>
        <tr r="BK20" s="1"/>
      </tp>
      <tp t="s">
        <v>84</v>
        <stp/>
        <stp>127.0.0.1</stp>
        <stp>1</stp>
        <stp>N</stp>
        <stp>40863</stp>
        <stp>1</stp>
        <stp>PerDevice</stp>
        <stp>502</stp>
        <tr r="BJ47" s="1"/>
      </tp>
      <tp t="s">
        <v>84</v>
        <stp/>
        <stp>127.0.0.1</stp>
        <stp>1</stp>
        <stp>N</stp>
        <stp>40862</stp>
        <stp>1</stp>
        <stp>PerDevice</stp>
        <stp>502</stp>
        <tr r="BJ46" s="1"/>
      </tp>
      <tp t="s">
        <v>84</v>
        <stp/>
        <stp>127.0.0.1</stp>
        <stp>1</stp>
        <stp>N</stp>
        <stp>40861</stp>
        <stp>1</stp>
        <stp>PerDevice</stp>
        <stp>502</stp>
        <tr r="BJ45" s="1"/>
      </tp>
      <tp t="s">
        <v>84</v>
        <stp/>
        <stp>127.0.0.1</stp>
        <stp>1</stp>
        <stp>N</stp>
        <stp>40860</stp>
        <stp>1</stp>
        <stp>PerDevice</stp>
        <stp>502</stp>
        <tr r="BJ44" s="1"/>
      </tp>
      <tp t="s">
        <v>84</v>
        <stp/>
        <stp>127.0.0.1</stp>
        <stp>1</stp>
        <stp>N</stp>
        <stp>40867</stp>
        <stp>1</stp>
        <stp>PerDevice</stp>
        <stp>502</stp>
        <tr r="BK19" s="1"/>
      </tp>
      <tp t="s">
        <v>84</v>
        <stp/>
        <stp>127.0.0.1</stp>
        <stp>1</stp>
        <stp>N</stp>
        <stp>40866</stp>
        <stp>1</stp>
        <stp>PerDevice</stp>
        <stp>502</stp>
        <tr r="BK18" s="1"/>
      </tp>
      <tp t="s">
        <v>84</v>
        <stp/>
        <stp>127.0.0.1</stp>
        <stp>1</stp>
        <stp>N</stp>
        <stp>40865</stp>
        <stp>1</stp>
        <stp>PerDevice</stp>
        <stp>502</stp>
        <tr r="BK17" s="1"/>
      </tp>
      <tp t="s">
        <v>84</v>
        <stp/>
        <stp>127.0.0.1</stp>
        <stp>1</stp>
        <stp>N</stp>
        <stp>40859</stp>
        <stp>1</stp>
        <stp>PerDevice</stp>
        <stp>502</stp>
        <tr r="BJ43" s="1"/>
      </tp>
      <tp t="s">
        <v>84</v>
        <stp/>
        <stp>127.0.0.1</stp>
        <stp>1</stp>
        <stp>N</stp>
        <stp>40858</stp>
        <stp>1</stp>
        <stp>PerDevice</stp>
        <stp>502</stp>
        <tr r="BJ42" s="1"/>
      </tp>
      <tp t="s">
        <v>84</v>
        <stp/>
        <stp>127.0.0.1</stp>
        <stp>1</stp>
        <stp>N</stp>
        <stp>40853</stp>
        <stp>1</stp>
        <stp>PerDevice</stp>
        <stp>502</stp>
        <tr r="BJ37" s="1"/>
      </tp>
      <tp t="s">
        <v>84</v>
        <stp/>
        <stp>127.0.0.1</stp>
        <stp>1</stp>
        <stp>N</stp>
        <stp>40852</stp>
        <stp>1</stp>
        <stp>PerDevice</stp>
        <stp>502</stp>
        <tr r="BJ36" s="1"/>
      </tp>
      <tp t="s">
        <v>84</v>
        <stp/>
        <stp>127.0.0.1</stp>
        <stp>1</stp>
        <stp>N</stp>
        <stp>40851</stp>
        <stp>1</stp>
        <stp>PerDevice</stp>
        <stp>502</stp>
        <tr r="BJ35" s="1"/>
      </tp>
      <tp t="s">
        <v>84</v>
        <stp/>
        <stp>127.0.0.1</stp>
        <stp>1</stp>
        <stp>N</stp>
        <stp>40850</stp>
        <stp>1</stp>
        <stp>PerDevice</stp>
        <stp>502</stp>
        <tr r="BJ34" s="1"/>
      </tp>
      <tp t="s">
        <v>84</v>
        <stp/>
        <stp>127.0.0.1</stp>
        <stp>1</stp>
        <stp>N</stp>
        <stp>40857</stp>
        <stp>1</stp>
        <stp>PerDevice</stp>
        <stp>502</stp>
        <tr r="BJ41" s="1"/>
      </tp>
      <tp t="s">
        <v>84</v>
        <stp/>
        <stp>127.0.0.1</stp>
        <stp>1</stp>
        <stp>N</stp>
        <stp>40856</stp>
        <stp>1</stp>
        <stp>PerDevice</stp>
        <stp>502</stp>
        <tr r="BJ40" s="1"/>
      </tp>
      <tp t="s">
        <v>84</v>
        <stp/>
        <stp>127.0.0.1</stp>
        <stp>1</stp>
        <stp>N</stp>
        <stp>40855</stp>
        <stp>1</stp>
        <stp>PerDevice</stp>
        <stp>502</stp>
        <tr r="BJ39" s="1"/>
      </tp>
      <tp t="s">
        <v>84</v>
        <stp/>
        <stp>127.0.0.1</stp>
        <stp>1</stp>
        <stp>N</stp>
        <stp>40854</stp>
        <stp>1</stp>
        <stp>PerDevice</stp>
        <stp>502</stp>
        <tr r="BJ38" s="1"/>
      </tp>
      <tp t="s">
        <v>84</v>
        <stp/>
        <stp>127.0.0.1</stp>
        <stp>1</stp>
        <stp>N</stp>
        <stp>40849</stp>
        <stp>1</stp>
        <stp>PerDevice</stp>
        <stp>502</stp>
        <tr r="BJ33" s="1"/>
      </tp>
      <tp t="s">
        <v>84</v>
        <stp/>
        <stp>127.0.0.1</stp>
        <stp>1</stp>
        <stp>N</stp>
        <stp>40848</stp>
        <stp>1</stp>
        <stp>PerDevice</stp>
        <stp>502</stp>
        <tr r="BJ32" s="1"/>
      </tp>
      <tp t="s">
        <v>60</v>
        <stp/>
        <stp>127.0.0.1</stp>
        <stp>1</stp>
        <stp>N</stp>
        <stp>40843</stp>
        <stp>1</stp>
        <stp>PerDevice</stp>
        <stp>502</stp>
        <tr r="BJ27" s="1"/>
      </tp>
      <tp t="s">
        <v>84</v>
        <stp/>
        <stp>127.0.0.1</stp>
        <stp>1</stp>
        <stp>N</stp>
        <stp>40842</stp>
        <stp>1</stp>
        <stp>PerDevice</stp>
        <stp>502</stp>
        <tr r="BJ26" s="1"/>
      </tp>
      <tp t="s">
        <v>60</v>
        <stp/>
        <stp>127.0.0.1</stp>
        <stp>1</stp>
        <stp>N</stp>
        <stp>40841</stp>
        <stp>1</stp>
        <stp>PerDevice</stp>
        <stp>502</stp>
        <tr r="BJ25" s="1"/>
      </tp>
      <tp t="s">
        <v>60</v>
        <stp/>
        <stp>127.0.0.1</stp>
        <stp>1</stp>
        <stp>N</stp>
        <stp>40840</stp>
        <stp>1</stp>
        <stp>PerDevice</stp>
        <stp>502</stp>
        <tr r="BJ24" s="1"/>
      </tp>
      <tp t="s">
        <v>84</v>
        <stp/>
        <stp>127.0.0.1</stp>
        <stp>1</stp>
        <stp>N</stp>
        <stp>40847</stp>
        <stp>1</stp>
        <stp>PerDevice</stp>
        <stp>502</stp>
        <tr r="BJ31" s="1"/>
      </tp>
      <tp t="s">
        <v>84</v>
        <stp/>
        <stp>127.0.0.1</stp>
        <stp>1</stp>
        <stp>N</stp>
        <stp>40846</stp>
        <stp>1</stp>
        <stp>PerDevice</stp>
        <stp>502</stp>
        <tr r="BJ30" s="1"/>
      </tp>
      <tp t="s">
        <v>84</v>
        <stp/>
        <stp>127.0.0.1</stp>
        <stp>1</stp>
        <stp>N</stp>
        <stp>40845</stp>
        <stp>1</stp>
        <stp>PerDevice</stp>
        <stp>502</stp>
        <tr r="BJ29" s="1"/>
      </tp>
      <tp t="s">
        <v>84</v>
        <stp/>
        <stp>127.0.0.1</stp>
        <stp>1</stp>
        <stp>N</stp>
        <stp>40844</stp>
        <stp>1</stp>
        <stp>PerDevice</stp>
        <stp>502</stp>
        <tr r="BJ28" s="1"/>
      </tp>
      <tp t="s">
        <v>84</v>
        <stp/>
        <stp>127.0.0.1</stp>
        <stp>1</stp>
        <stp>N</stp>
        <stp>40839</stp>
        <stp>1</stp>
        <stp>PerDevice</stp>
        <stp>502</stp>
        <tr r="BJ23" s="1"/>
      </tp>
      <tp t="s">
        <v>84</v>
        <stp/>
        <stp>127.0.0.1</stp>
        <stp>1</stp>
        <stp>N</stp>
        <stp>40838</stp>
        <stp>1</stp>
        <stp>PerDevice</stp>
        <stp>502</stp>
        <tr r="BJ22" s="1"/>
      </tp>
      <tp t="s">
        <v>84</v>
        <stp/>
        <stp>127.0.0.1</stp>
        <stp>1</stp>
        <stp>N</stp>
        <stp>40833</stp>
        <stp>1</stp>
        <stp>PerDevice</stp>
        <stp>502</stp>
        <tr r="BJ17" s="1"/>
      </tp>
      <tp t="s">
        <v>84</v>
        <stp/>
        <stp>127.0.0.1</stp>
        <stp>1</stp>
        <stp>N</stp>
        <stp>40831</stp>
        <stp>1</stp>
        <stp>PerDevice</stp>
        <stp>502</stp>
        <tr r="BI47" s="1"/>
      </tp>
      <tp t="s">
        <v>84</v>
        <stp/>
        <stp>127.0.0.1</stp>
        <stp>1</stp>
        <stp>N</stp>
        <stp>40830</stp>
        <stp>1</stp>
        <stp>PerDevice</stp>
        <stp>502</stp>
        <tr r="BI46" s="1"/>
      </tp>
      <tp t="s">
        <v>84</v>
        <stp/>
        <stp>127.0.0.1</stp>
        <stp>1</stp>
        <stp>N</stp>
        <stp>40837</stp>
        <stp>1</stp>
        <stp>PerDevice</stp>
        <stp>502</stp>
        <tr r="BJ21" s="1"/>
      </tp>
      <tp t="s">
        <v>84</v>
        <stp/>
        <stp>127.0.0.1</stp>
        <stp>1</stp>
        <stp>N</stp>
        <stp>40836</stp>
        <stp>1</stp>
        <stp>PerDevice</stp>
        <stp>502</stp>
        <tr r="BJ20" s="1"/>
      </tp>
      <tp t="s">
        <v>84</v>
        <stp/>
        <stp>127.0.0.1</stp>
        <stp>1</stp>
        <stp>N</stp>
        <stp>40835</stp>
        <stp>1</stp>
        <stp>PerDevice</stp>
        <stp>502</stp>
        <tr r="BJ19" s="1"/>
      </tp>
      <tp t="s">
        <v>84</v>
        <stp/>
        <stp>127.0.0.1</stp>
        <stp>1</stp>
        <stp>N</stp>
        <stp>40834</stp>
        <stp>1</stp>
        <stp>PerDevice</stp>
        <stp>502</stp>
        <tr r="BJ18" s="1"/>
      </tp>
      <tp t="s">
        <v>60</v>
        <stp/>
        <stp>127.0.0.1</stp>
        <stp>1</stp>
        <stp>N</stp>
        <stp>40829</stp>
        <stp>1</stp>
        <stp>PerDevice</stp>
        <stp>502</stp>
        <tr r="BI45" s="1"/>
      </tp>
      <tp t="s">
        <v>60</v>
        <stp/>
        <stp>127.0.0.1</stp>
        <stp>1</stp>
        <stp>N</stp>
        <stp>40828</stp>
        <stp>1</stp>
        <stp>PerDevice</stp>
        <stp>502</stp>
        <tr r="BI44" s="1"/>
      </tp>
      <tp t="s">
        <v>87</v>
        <stp/>
        <stp>127.0.0.1</stp>
        <stp>1</stp>
        <stp>N</stp>
        <stp>40823</stp>
        <stp>1</stp>
        <stp>PerDevice</stp>
        <stp>502</stp>
        <tr r="BI39" s="1"/>
      </tp>
      <tp t="s">
        <v>87</v>
        <stp/>
        <stp>127.0.0.1</stp>
        <stp>1</stp>
        <stp>N</stp>
        <stp>40822</stp>
        <stp>1</stp>
        <stp>PerDevice</stp>
        <stp>502</stp>
        <tr r="BI38" s="1"/>
      </tp>
      <tp t="s">
        <v>87</v>
        <stp/>
        <stp>127.0.0.1</stp>
        <stp>1</stp>
        <stp>N</stp>
        <stp>40821</stp>
        <stp>1</stp>
        <stp>PerDevice</stp>
        <stp>502</stp>
        <tr r="BI37" s="1"/>
      </tp>
      <tp t="s">
        <v>87</v>
        <stp/>
        <stp>127.0.0.1</stp>
        <stp>1</stp>
        <stp>N</stp>
        <stp>40820</stp>
        <stp>1</stp>
        <stp>PerDevice</stp>
        <stp>502</stp>
        <tr r="BI36" s="1"/>
      </tp>
      <tp t="s">
        <v>60</v>
        <stp/>
        <stp>127.0.0.1</stp>
        <stp>1</stp>
        <stp>N</stp>
        <stp>40827</stp>
        <stp>1</stp>
        <stp>PerDevice</stp>
        <stp>502</stp>
        <tr r="BI43" s="1"/>
      </tp>
      <tp t="s">
        <v>60</v>
        <stp/>
        <stp>127.0.0.1</stp>
        <stp>1</stp>
        <stp>N</stp>
        <stp>40826</stp>
        <stp>1</stp>
        <stp>PerDevice</stp>
        <stp>502</stp>
        <tr r="BI42" s="1"/>
      </tp>
      <tp t="s">
        <v>87</v>
        <stp/>
        <stp>127.0.0.1</stp>
        <stp>1</stp>
        <stp>N</stp>
        <stp>40825</stp>
        <stp>1</stp>
        <stp>PerDevice</stp>
        <stp>502</stp>
        <tr r="BI41" s="1"/>
      </tp>
      <tp t="s">
        <v>87</v>
        <stp/>
        <stp>127.0.0.1</stp>
        <stp>1</stp>
        <stp>N</stp>
        <stp>40824</stp>
        <stp>1</stp>
        <stp>PerDevice</stp>
        <stp>502</stp>
        <tr r="BI40" s="1"/>
      </tp>
      <tp t="s">
        <v>84</v>
        <stp/>
        <stp>127.0.0.1</stp>
        <stp>1</stp>
        <stp>N</stp>
        <stp>40819</stp>
        <stp>1</stp>
        <stp>PerDevice</stp>
        <stp>502</stp>
        <tr r="BI35" s="1"/>
      </tp>
      <tp t="s">
        <v>84</v>
        <stp/>
        <stp>127.0.0.1</stp>
        <stp>1</stp>
        <stp>N</stp>
        <stp>40818</stp>
        <stp>1</stp>
        <stp>PerDevice</stp>
        <stp>502</stp>
        <tr r="BI34" s="1"/>
      </tp>
      <tp t="s">
        <v>87</v>
        <stp/>
        <stp>127.0.0.1</stp>
        <stp>1</stp>
        <stp>N</stp>
        <stp>40813</stp>
        <stp>1</stp>
        <stp>PerDevice</stp>
        <stp>502</stp>
        <tr r="BI29" s="1"/>
      </tp>
      <tp t="s">
        <v>60</v>
        <stp/>
        <stp>127.0.0.1</stp>
        <stp>1</stp>
        <stp>N</stp>
        <stp>40812</stp>
        <stp>1</stp>
        <stp>PerDevice</stp>
        <stp>502</stp>
        <tr r="BI28" s="1"/>
      </tp>
      <tp t="s">
        <v>87</v>
        <stp/>
        <stp>127.0.0.1</stp>
        <stp>1</stp>
        <stp>N</stp>
        <stp>40811</stp>
        <stp>1</stp>
        <stp>PerDevice</stp>
        <stp>502</stp>
        <tr r="BI27" s="1"/>
      </tp>
      <tp t="s">
        <v>87</v>
        <stp/>
        <stp>127.0.0.1</stp>
        <stp>1</stp>
        <stp>N</stp>
        <stp>40810</stp>
        <stp>1</stp>
        <stp>PerDevice</stp>
        <stp>502</stp>
        <tr r="BI26" s="1"/>
      </tp>
      <tp t="s">
        <v>84</v>
        <stp/>
        <stp>127.0.0.1</stp>
        <stp>1</stp>
        <stp>N</stp>
        <stp>40817</stp>
        <stp>1</stp>
        <stp>PerDevice</stp>
        <stp>502</stp>
        <tr r="BI33" s="1"/>
      </tp>
      <tp t="s">
        <v>84</v>
        <stp/>
        <stp>127.0.0.1</stp>
        <stp>1</stp>
        <stp>N</stp>
        <stp>40816</stp>
        <stp>1</stp>
        <stp>PerDevice</stp>
        <stp>502</stp>
        <tr r="BI32" s="1"/>
      </tp>
      <tp t="s">
        <v>60</v>
        <stp/>
        <stp>127.0.0.1</stp>
        <stp>1</stp>
        <stp>N</stp>
        <stp>40815</stp>
        <stp>1</stp>
        <stp>PerDevice</stp>
        <stp>502</stp>
        <tr r="BI31" s="1"/>
      </tp>
      <tp t="s">
        <v>60</v>
        <stp/>
        <stp>127.0.0.1</stp>
        <stp>1</stp>
        <stp>N</stp>
        <stp>40814</stp>
        <stp>1</stp>
        <stp>PerDevice</stp>
        <stp>502</stp>
        <tr r="BI30" s="1"/>
      </tp>
      <tp t="s">
        <v>84</v>
        <stp/>
        <stp>127.0.0.1</stp>
        <stp>1</stp>
        <stp>N</stp>
        <stp>40809</stp>
        <stp>1</stp>
        <stp>PerDevice</stp>
        <stp>502</stp>
        <tr r="BI25" s="1"/>
      </tp>
      <tp t="s">
        <v>87</v>
        <stp/>
        <stp>127.0.0.1</stp>
        <stp>1</stp>
        <stp>N</stp>
        <stp>40808</stp>
        <stp>1</stp>
        <stp>PerDevice</stp>
        <stp>502</stp>
        <tr r="BI24" s="1"/>
      </tp>
      <tp t="s">
        <v>84</v>
        <stp/>
        <stp>127.0.0.1</stp>
        <stp>1</stp>
        <stp>N</stp>
        <stp>40803</stp>
        <stp>1</stp>
        <stp>PerDevice</stp>
        <stp>502</stp>
        <tr r="BI19" s="1"/>
      </tp>
      <tp t="s">
        <v>84</v>
        <stp/>
        <stp>127.0.0.1</stp>
        <stp>1</stp>
        <stp>N</stp>
        <stp>40802</stp>
        <stp>1</stp>
        <stp>PerDevice</stp>
        <stp>502</stp>
        <tr r="BI18" s="1"/>
      </tp>
      <tp t="s">
        <v>84</v>
        <stp/>
        <stp>127.0.0.1</stp>
        <stp>1</stp>
        <stp>N</stp>
        <stp>40801</stp>
        <stp>1</stp>
        <stp>PerDevice</stp>
        <stp>502</stp>
        <tr r="BI17" s="1"/>
      </tp>
      <tp t="s">
        <v>84</v>
        <stp/>
        <stp>127.0.0.1</stp>
        <stp>1</stp>
        <stp>N</stp>
        <stp>40807</stp>
        <stp>1</stp>
        <stp>PerDevice</stp>
        <stp>502</stp>
        <tr r="BI23" s="1"/>
      </tp>
      <tp t="s">
        <v>84</v>
        <stp/>
        <stp>127.0.0.1</stp>
        <stp>1</stp>
        <stp>N</stp>
        <stp>40806</stp>
        <stp>1</stp>
        <stp>PerDevice</stp>
        <stp>502</stp>
        <tr r="BI22" s="1"/>
      </tp>
      <tp t="s">
        <v>84</v>
        <stp/>
        <stp>127.0.0.1</stp>
        <stp>1</stp>
        <stp>N</stp>
        <stp>40805</stp>
        <stp>1</stp>
        <stp>PerDevice</stp>
        <stp>502</stp>
        <tr r="BI21" s="1"/>
      </tp>
      <tp t="s">
        <v>84</v>
        <stp/>
        <stp>127.0.0.1</stp>
        <stp>1</stp>
        <stp>N</stp>
        <stp>40804</stp>
        <stp>1</stp>
        <stp>PerDevice</stp>
        <stp>502</stp>
        <tr r="BI20" s="1"/>
      </tp>
      <tp>
        <v>930</v>
        <stp/>
        <stp>TopicCount</stp>
        <stp/>
        <stp/>
        <stp/>
        <stp/>
        <stp/>
        <tr r="C10" s="1"/>
      </tp>
      <tp t="s">
        <v>84</v>
        <stp/>
        <stp>127.0.0.1</stp>
        <stp>1</stp>
        <stp>N</stp>
        <stp>40959</stp>
        <stp>1</stp>
        <stp>PerDevice</stp>
        <stp>502</stp>
        <tr r="BM47" s="1"/>
      </tp>
      <tp t="s">
        <v>84</v>
        <stp/>
        <stp>127.0.0.1</stp>
        <stp>1</stp>
        <stp>N</stp>
        <stp>40958</stp>
        <stp>1</stp>
        <stp>PerDevice</stp>
        <stp>502</stp>
        <tr r="BM46" s="1"/>
      </tp>
      <tp t="s">
        <v>84</v>
        <stp/>
        <stp>127.0.0.1</stp>
        <stp>1</stp>
        <stp>N</stp>
        <stp>40953</stp>
        <stp>1</stp>
        <stp>PerDevice</stp>
        <stp>502</stp>
        <tr r="BM41" s="1"/>
      </tp>
      <tp t="s">
        <v>84</v>
        <stp/>
        <stp>127.0.0.1</stp>
        <stp>1</stp>
        <stp>N</stp>
        <stp>40952</stp>
        <stp>1</stp>
        <stp>PerDevice</stp>
        <stp>502</stp>
        <tr r="BM40" s="1"/>
      </tp>
      <tp t="s">
        <v>84</v>
        <stp/>
        <stp>127.0.0.1</stp>
        <stp>1</stp>
        <stp>N</stp>
        <stp>40951</stp>
        <stp>1</stp>
        <stp>PerDevice</stp>
        <stp>502</stp>
        <tr r="BM39" s="1"/>
      </tp>
      <tp t="s">
        <v>84</v>
        <stp/>
        <stp>127.0.0.1</stp>
        <stp>1</stp>
        <stp>N</stp>
        <stp>40950</stp>
        <stp>1</stp>
        <stp>PerDevice</stp>
        <stp>502</stp>
        <tr r="BM38" s="1"/>
      </tp>
      <tp t="s">
        <v>84</v>
        <stp/>
        <stp>127.0.0.1</stp>
        <stp>1</stp>
        <stp>N</stp>
        <stp>40957</stp>
        <stp>1</stp>
        <stp>PerDevice</stp>
        <stp>502</stp>
        <tr r="BM45" s="1"/>
      </tp>
      <tp t="s">
        <v>84</v>
        <stp/>
        <stp>127.0.0.1</stp>
        <stp>1</stp>
        <stp>N</stp>
        <stp>40956</stp>
        <stp>1</stp>
        <stp>PerDevice</stp>
        <stp>502</stp>
        <tr r="BM44" s="1"/>
      </tp>
      <tp t="s">
        <v>84</v>
        <stp/>
        <stp>127.0.0.1</stp>
        <stp>1</stp>
        <stp>N</stp>
        <stp>40955</stp>
        <stp>1</stp>
        <stp>PerDevice</stp>
        <stp>502</stp>
        <tr r="BM43" s="1"/>
      </tp>
      <tp t="s">
        <v>84</v>
        <stp/>
        <stp>127.0.0.1</stp>
        <stp>1</stp>
        <stp>N</stp>
        <stp>40954</stp>
        <stp>1</stp>
        <stp>PerDevice</stp>
        <stp>502</stp>
        <tr r="BM42" s="1"/>
      </tp>
      <tp t="s">
        <v>84</v>
        <stp/>
        <stp>127.0.0.1</stp>
        <stp>1</stp>
        <stp>N</stp>
        <stp>40949</stp>
        <stp>1</stp>
        <stp>PerDevice</stp>
        <stp>502</stp>
        <tr r="BM37" s="1"/>
      </tp>
      <tp t="s">
        <v>84</v>
        <stp/>
        <stp>127.0.0.1</stp>
        <stp>1</stp>
        <stp>N</stp>
        <stp>40948</stp>
        <stp>1</stp>
        <stp>PerDevice</stp>
        <stp>502</stp>
        <tr r="BM36" s="1"/>
      </tp>
      <tp t="s">
        <v>60</v>
        <stp/>
        <stp>127.0.0.1</stp>
        <stp>1</stp>
        <stp>N</stp>
        <stp>40943</stp>
        <stp>1</stp>
        <stp>PerDevice</stp>
        <stp>502</stp>
        <tr r="BM31" s="1"/>
      </tp>
      <tp t="s">
        <v>84</v>
        <stp/>
        <stp>127.0.0.1</stp>
        <stp>1</stp>
        <stp>N</stp>
        <stp>40942</stp>
        <stp>1</stp>
        <stp>PerDevice</stp>
        <stp>502</stp>
        <tr r="BM30" s="1"/>
      </tp>
      <tp t="s">
        <v>60</v>
        <stp/>
        <stp>127.0.0.1</stp>
        <stp>1</stp>
        <stp>N</stp>
        <stp>40941</stp>
        <stp>1</stp>
        <stp>PerDevice</stp>
        <stp>502</stp>
        <tr r="BM29" s="1"/>
      </tp>
      <tp t="s">
        <v>60</v>
        <stp/>
        <stp>127.0.0.1</stp>
        <stp>1</stp>
        <stp>N</stp>
        <stp>40940</stp>
        <stp>1</stp>
        <stp>PerDevice</stp>
        <stp>502</stp>
        <tr r="BM28" s="1"/>
      </tp>
      <tp t="s">
        <v>84</v>
        <stp/>
        <stp>127.0.0.1</stp>
        <stp>1</stp>
        <stp>N</stp>
        <stp>40947</stp>
        <stp>1</stp>
        <stp>PerDevice</stp>
        <stp>502</stp>
        <tr r="BM35" s="1"/>
      </tp>
      <tp t="s">
        <v>84</v>
        <stp/>
        <stp>127.0.0.1</stp>
        <stp>1</stp>
        <stp>N</stp>
        <stp>40946</stp>
        <stp>1</stp>
        <stp>PerDevice</stp>
        <stp>502</stp>
        <tr r="BM34" s="1"/>
      </tp>
      <tp t="s">
        <v>84</v>
        <stp/>
        <stp>127.0.0.1</stp>
        <stp>1</stp>
        <stp>N</stp>
        <stp>40945</stp>
        <stp>1</stp>
        <stp>PerDevice</stp>
        <stp>502</stp>
        <tr r="BM33" s="1"/>
      </tp>
      <tp t="s">
        <v>84</v>
        <stp/>
        <stp>127.0.0.1</stp>
        <stp>1</stp>
        <stp>N</stp>
        <stp>40944</stp>
        <stp>1</stp>
        <stp>PerDevice</stp>
        <stp>502</stp>
        <tr r="BM32" s="1"/>
      </tp>
      <tp t="s">
        <v>84</v>
        <stp/>
        <stp>127.0.0.1</stp>
        <stp>1</stp>
        <stp>N</stp>
        <stp>40939</stp>
        <stp>1</stp>
        <stp>PerDevice</stp>
        <stp>502</stp>
        <tr r="BM27" s="1"/>
      </tp>
      <tp t="s">
        <v>84</v>
        <stp/>
        <stp>127.0.0.1</stp>
        <stp>1</stp>
        <stp>N</stp>
        <stp>40938</stp>
        <stp>1</stp>
        <stp>PerDevice</stp>
        <stp>502</stp>
        <tr r="BM26" s="1"/>
      </tp>
      <tp t="s">
        <v>84</v>
        <stp/>
        <stp>127.0.0.1</stp>
        <stp>1</stp>
        <stp>N</stp>
        <stp>40933</stp>
        <stp>1</stp>
        <stp>PerDevice</stp>
        <stp>502</stp>
        <tr r="BM21" s="1"/>
      </tp>
      <tp t="s">
        <v>84</v>
        <stp/>
        <stp>127.0.0.1</stp>
        <stp>1</stp>
        <stp>N</stp>
        <stp>40932</stp>
        <stp>1</stp>
        <stp>PerDevice</stp>
        <stp>502</stp>
        <tr r="BM20" s="1"/>
      </tp>
      <tp t="s">
        <v>84</v>
        <stp/>
        <stp>127.0.0.1</stp>
        <stp>1</stp>
        <stp>N</stp>
        <stp>40931</stp>
        <stp>1</stp>
        <stp>PerDevice</stp>
        <stp>502</stp>
        <tr r="BM19" s="1"/>
      </tp>
      <tp t="s">
        <v>84</v>
        <stp/>
        <stp>127.0.0.1</stp>
        <stp>1</stp>
        <stp>N</stp>
        <stp>40930</stp>
        <stp>1</stp>
        <stp>PerDevice</stp>
        <stp>502</stp>
        <tr r="BM18" s="1"/>
      </tp>
      <tp t="s">
        <v>84</v>
        <stp/>
        <stp>127.0.0.1</stp>
        <stp>1</stp>
        <stp>N</stp>
        <stp>40937</stp>
        <stp>1</stp>
        <stp>PerDevice</stp>
        <stp>502</stp>
        <tr r="BM25" s="1"/>
      </tp>
      <tp t="s">
        <v>84</v>
        <stp/>
        <stp>127.0.0.1</stp>
        <stp>1</stp>
        <stp>N</stp>
        <stp>40936</stp>
        <stp>1</stp>
        <stp>PerDevice</stp>
        <stp>502</stp>
        <tr r="BM24" s="1"/>
      </tp>
      <tp t="s">
        <v>84</v>
        <stp/>
        <stp>127.0.0.1</stp>
        <stp>1</stp>
        <stp>N</stp>
        <stp>40935</stp>
        <stp>1</stp>
        <stp>PerDevice</stp>
        <stp>502</stp>
        <tr r="BM23" s="1"/>
      </tp>
      <tp t="s">
        <v>84</v>
        <stp/>
        <stp>127.0.0.1</stp>
        <stp>1</stp>
        <stp>N</stp>
        <stp>40934</stp>
        <stp>1</stp>
        <stp>PerDevice</stp>
        <stp>502</stp>
        <tr r="BM22" s="1"/>
      </tp>
      <tp t="s">
        <v>60</v>
        <stp/>
        <stp>127.0.0.1</stp>
        <stp>1</stp>
        <stp>N</stp>
        <stp>40929</stp>
        <stp>1</stp>
        <stp>PerDevice</stp>
        <stp>502</stp>
        <tr r="BM17" s="1"/>
      </tp>
      <tp t="s">
        <v>87</v>
        <stp/>
        <stp>127.0.0.1</stp>
        <stp>1</stp>
        <stp>N</stp>
        <stp>40923</stp>
        <stp>1</stp>
        <stp>PerDevice</stp>
        <stp>502</stp>
        <tr r="BL43" s="1"/>
      </tp>
      <tp t="s">
        <v>87</v>
        <stp/>
        <stp>127.0.0.1</stp>
        <stp>1</stp>
        <stp>N</stp>
        <stp>40922</stp>
        <stp>1</stp>
        <stp>PerDevice</stp>
        <stp>502</stp>
        <tr r="BL42" s="1"/>
      </tp>
      <tp t="s">
        <v>87</v>
        <stp/>
        <stp>127.0.0.1</stp>
        <stp>1</stp>
        <stp>N</stp>
        <stp>40921</stp>
        <stp>1</stp>
        <stp>PerDevice</stp>
        <stp>502</stp>
        <tr r="BL41" s="1"/>
      </tp>
      <tp t="s">
        <v>87</v>
        <stp/>
        <stp>127.0.0.1</stp>
        <stp>1</stp>
        <stp>N</stp>
        <stp>40920</stp>
        <stp>1</stp>
        <stp>PerDevice</stp>
        <stp>502</stp>
        <tr r="BL40" s="1"/>
      </tp>
      <tp t="s">
        <v>60</v>
        <stp/>
        <stp>127.0.0.1</stp>
        <stp>1</stp>
        <stp>N</stp>
        <stp>40927</stp>
        <stp>1</stp>
        <stp>PerDevice</stp>
        <stp>502</stp>
        <tr r="BL47" s="1"/>
      </tp>
      <tp t="s">
        <v>60</v>
        <stp/>
        <stp>127.0.0.1</stp>
        <stp>1</stp>
        <stp>N</stp>
        <stp>40926</stp>
        <stp>1</stp>
        <stp>PerDevice</stp>
        <stp>502</stp>
        <tr r="BL46" s="1"/>
      </tp>
      <tp t="s">
        <v>87</v>
        <stp/>
        <stp>127.0.0.1</stp>
        <stp>1</stp>
        <stp>N</stp>
        <stp>40925</stp>
        <stp>1</stp>
        <stp>PerDevice</stp>
        <stp>502</stp>
        <tr r="BL45" s="1"/>
      </tp>
      <tp t="s">
        <v>87</v>
        <stp/>
        <stp>127.0.0.1</stp>
        <stp>1</stp>
        <stp>N</stp>
        <stp>40924</stp>
        <stp>1</stp>
        <stp>PerDevice</stp>
        <stp>502</stp>
        <tr r="BL44" s="1"/>
      </tp>
      <tp t="s">
        <v>84</v>
        <stp/>
        <stp>127.0.0.1</stp>
        <stp>1</stp>
        <stp>N</stp>
        <stp>40919</stp>
        <stp>1</stp>
        <stp>PerDevice</stp>
        <stp>502</stp>
        <tr r="BL39" s="1"/>
      </tp>
      <tp t="s">
        <v>84</v>
        <stp/>
        <stp>127.0.0.1</stp>
        <stp>1</stp>
        <stp>N</stp>
        <stp>40918</stp>
        <stp>1</stp>
        <stp>PerDevice</stp>
        <stp>502</stp>
        <tr r="BL38" s="1"/>
      </tp>
      <tp t="s">
        <v>87</v>
        <stp/>
        <stp>127.0.0.1</stp>
        <stp>1</stp>
        <stp>N</stp>
        <stp>40913</stp>
        <stp>1</stp>
        <stp>PerDevice</stp>
        <stp>502</stp>
        <tr r="BL33" s="1"/>
      </tp>
      <tp t="s">
        <v>60</v>
        <stp/>
        <stp>127.0.0.1</stp>
        <stp>1</stp>
        <stp>N</stp>
        <stp>40912</stp>
        <stp>1</stp>
        <stp>PerDevice</stp>
        <stp>502</stp>
        <tr r="BL32" s="1"/>
      </tp>
      <tp t="s">
        <v>87</v>
        <stp/>
        <stp>127.0.0.1</stp>
        <stp>1</stp>
        <stp>N</stp>
        <stp>40911</stp>
        <stp>1</stp>
        <stp>PerDevice</stp>
        <stp>502</stp>
        <tr r="BL31" s="1"/>
      </tp>
      <tp t="s">
        <v>87</v>
        <stp/>
        <stp>127.0.0.1</stp>
        <stp>1</stp>
        <stp>N</stp>
        <stp>40910</stp>
        <stp>1</stp>
        <stp>PerDevice</stp>
        <stp>502</stp>
        <tr r="BL30" s="1"/>
      </tp>
      <tp t="s">
        <v>84</v>
        <stp/>
        <stp>127.0.0.1</stp>
        <stp>1</stp>
        <stp>N</stp>
        <stp>40917</stp>
        <stp>1</stp>
        <stp>PerDevice</stp>
        <stp>502</stp>
        <tr r="BL37" s="1"/>
      </tp>
      <tp t="s">
        <v>84</v>
        <stp/>
        <stp>127.0.0.1</stp>
        <stp>1</stp>
        <stp>N</stp>
        <stp>40916</stp>
        <stp>1</stp>
        <stp>PerDevice</stp>
        <stp>502</stp>
        <tr r="BL36" s="1"/>
      </tp>
      <tp t="s">
        <v>60</v>
        <stp/>
        <stp>127.0.0.1</stp>
        <stp>1</stp>
        <stp>N</stp>
        <stp>40915</stp>
        <stp>1</stp>
        <stp>PerDevice</stp>
        <stp>502</stp>
        <tr r="BL35" s="1"/>
      </tp>
      <tp t="s">
        <v>60</v>
        <stp/>
        <stp>127.0.0.1</stp>
        <stp>1</stp>
        <stp>N</stp>
        <stp>40914</stp>
        <stp>1</stp>
        <stp>PerDevice</stp>
        <stp>502</stp>
        <tr r="BL34" s="1"/>
      </tp>
      <tp t="s">
        <v>84</v>
        <stp/>
        <stp>127.0.0.1</stp>
        <stp>1</stp>
        <stp>N</stp>
        <stp>40909</stp>
        <stp>1</stp>
        <stp>PerDevice</stp>
        <stp>502</stp>
        <tr r="BL29" s="1"/>
      </tp>
      <tp t="s">
        <v>87</v>
        <stp/>
        <stp>127.0.0.1</stp>
        <stp>1</stp>
        <stp>N</stp>
        <stp>40908</stp>
        <stp>1</stp>
        <stp>PerDevice</stp>
        <stp>502</stp>
        <tr r="BL28" s="1"/>
      </tp>
      <tp t="s">
        <v>84</v>
        <stp/>
        <stp>127.0.0.1</stp>
        <stp>1</stp>
        <stp>N</stp>
        <stp>40903</stp>
        <stp>1</stp>
        <stp>PerDevice</stp>
        <stp>502</stp>
        <tr r="BL23" s="1"/>
      </tp>
      <tp t="s">
        <v>84</v>
        <stp/>
        <stp>127.0.0.1</stp>
        <stp>1</stp>
        <stp>N</stp>
        <stp>40902</stp>
        <stp>1</stp>
        <stp>PerDevice</stp>
        <stp>502</stp>
        <tr r="BL22" s="1"/>
      </tp>
      <tp t="s">
        <v>84</v>
        <stp/>
        <stp>127.0.0.1</stp>
        <stp>1</stp>
        <stp>N</stp>
        <stp>40901</stp>
        <stp>1</stp>
        <stp>PerDevice</stp>
        <stp>502</stp>
        <tr r="BL21" s="1"/>
      </tp>
      <tp t="s">
        <v>84</v>
        <stp/>
        <stp>127.0.0.1</stp>
        <stp>1</stp>
        <stp>N</stp>
        <stp>40900</stp>
        <stp>1</stp>
        <stp>PerDevice</stp>
        <stp>502</stp>
        <tr r="BL20" s="1"/>
      </tp>
      <tp t="s">
        <v>84</v>
        <stp/>
        <stp>127.0.0.1</stp>
        <stp>1</stp>
        <stp>N</stp>
        <stp>40907</stp>
        <stp>1</stp>
        <stp>PerDevice</stp>
        <stp>502</stp>
        <tr r="BL27" s="1"/>
      </tp>
      <tp t="s">
        <v>84</v>
        <stp/>
        <stp>127.0.0.1</stp>
        <stp>1</stp>
        <stp>N</stp>
        <stp>40906</stp>
        <stp>1</stp>
        <stp>PerDevice</stp>
        <stp>502</stp>
        <tr r="BL26" s="1"/>
      </tp>
      <tp t="s">
        <v>84</v>
        <stp/>
        <stp>127.0.0.1</stp>
        <stp>1</stp>
        <stp>N</stp>
        <stp>40905</stp>
        <stp>1</stp>
        <stp>PerDevice</stp>
        <stp>502</stp>
        <tr r="BL25" s="1"/>
      </tp>
      <tp t="s">
        <v>84</v>
        <stp/>
        <stp>127.0.0.1</stp>
        <stp>1</stp>
        <stp>N</stp>
        <stp>40904</stp>
        <stp>1</stp>
        <stp>PerDevice</stp>
        <stp>502</stp>
        <tr r="BL24" s="1"/>
      </tp>
      <tp t="s">
        <v>60</v>
        <stp/>
        <stp>127.0.0.1</stp>
        <stp>1</stp>
        <stp>N</stp>
        <stp>40499</stp>
        <stp>1</stp>
        <stp>PerDevice</stp>
        <stp>502</stp>
        <tr r="AY35" s="1"/>
      </tp>
      <tp t="s">
        <v>60</v>
        <stp/>
        <stp>127.0.0.1</stp>
        <stp>1</stp>
        <stp>N</stp>
        <stp>40498</stp>
        <stp>1</stp>
        <stp>PerDevice</stp>
        <stp>502</stp>
        <tr r="AY34" s="1"/>
      </tp>
      <tp t="s">
        <v>87</v>
        <stp/>
        <stp>127.0.0.1</stp>
        <stp>1</stp>
        <stp>N</stp>
        <stp>40493</stp>
        <stp>1</stp>
        <stp>PerDevice</stp>
        <stp>502</stp>
        <tr r="AY29" s="1"/>
      </tp>
      <tp t="s">
        <v>87</v>
        <stp/>
        <stp>127.0.0.1</stp>
        <stp>1</stp>
        <stp>N</stp>
        <stp>40492</stp>
        <stp>1</stp>
        <stp>PerDevice</stp>
        <stp>502</stp>
        <tr r="AY28" s="1"/>
      </tp>
      <tp t="s">
        <v>87</v>
        <stp/>
        <stp>127.0.0.1</stp>
        <stp>1</stp>
        <stp>N</stp>
        <stp>40491</stp>
        <stp>1</stp>
        <stp>PerDevice</stp>
        <stp>502</stp>
        <tr r="AY27" s="1"/>
      </tp>
      <tp t="s">
        <v>87</v>
        <stp/>
        <stp>127.0.0.1</stp>
        <stp>1</stp>
        <stp>N</stp>
        <stp>40490</stp>
        <stp>1</stp>
        <stp>PerDevice</stp>
        <stp>502</stp>
        <tr r="AY26" s="1"/>
      </tp>
      <tp t="s">
        <v>60</v>
        <stp/>
        <stp>127.0.0.1</stp>
        <stp>1</stp>
        <stp>N</stp>
        <stp>40497</stp>
        <stp>1</stp>
        <stp>PerDevice</stp>
        <stp>502</stp>
        <tr r="AY33" s="1"/>
      </tp>
      <tp t="s">
        <v>60</v>
        <stp/>
        <stp>127.0.0.1</stp>
        <stp>1</stp>
        <stp>N</stp>
        <stp>40496</stp>
        <stp>1</stp>
        <stp>PerDevice</stp>
        <stp>502</stp>
        <tr r="AY32" s="1"/>
      </tp>
      <tp t="s">
        <v>87</v>
        <stp/>
        <stp>127.0.0.1</stp>
        <stp>1</stp>
        <stp>N</stp>
        <stp>40495</stp>
        <stp>1</stp>
        <stp>PerDevice</stp>
        <stp>502</stp>
        <tr r="AY31" s="1"/>
      </tp>
      <tp t="s">
        <v>87</v>
        <stp/>
        <stp>127.0.0.1</stp>
        <stp>1</stp>
        <stp>N</stp>
        <stp>40494</stp>
        <stp>1</stp>
        <stp>PerDevice</stp>
        <stp>502</stp>
        <tr r="AY30" s="1"/>
      </tp>
      <tp t="s">
        <v>84</v>
        <stp/>
        <stp>127.0.0.1</stp>
        <stp>1</stp>
        <stp>N</stp>
        <stp>40489</stp>
        <stp>1</stp>
        <stp>PerDevice</stp>
        <stp>502</stp>
        <tr r="AY25" s="1"/>
      </tp>
      <tp t="s">
        <v>84</v>
        <stp/>
        <stp>127.0.0.1</stp>
        <stp>1</stp>
        <stp>N</stp>
        <stp>40488</stp>
        <stp>1</stp>
        <stp>PerDevice</stp>
        <stp>502</stp>
        <tr r="AY24" s="1"/>
      </tp>
      <tp t="s">
        <v>84</v>
        <stp/>
        <stp>127.0.0.1</stp>
        <stp>1</stp>
        <stp>N</stp>
        <stp>40483</stp>
        <stp>1</stp>
        <stp>PerDevice</stp>
        <stp>502</stp>
        <tr r="AY19" s="1"/>
      </tp>
      <tp t="s">
        <v>84</v>
        <stp/>
        <stp>127.0.0.1</stp>
        <stp>1</stp>
        <stp>N</stp>
        <stp>40482</stp>
        <stp>1</stp>
        <stp>PerDevice</stp>
        <stp>502</stp>
        <tr r="AY18" s="1"/>
      </tp>
      <tp t="s">
        <v>84</v>
        <stp/>
        <stp>127.0.0.1</stp>
        <stp>1</stp>
        <stp>N</stp>
        <stp>40481</stp>
        <stp>1</stp>
        <stp>PerDevice</stp>
        <stp>502</stp>
        <tr r="AY17" s="1"/>
      </tp>
      <tp t="s">
        <v>84</v>
        <stp/>
        <stp>127.0.0.1</stp>
        <stp>1</stp>
        <stp>N</stp>
        <stp>40487</stp>
        <stp>1</stp>
        <stp>PerDevice</stp>
        <stp>502</stp>
        <tr r="AY23" s="1"/>
      </tp>
      <tp t="s">
        <v>84</v>
        <stp/>
        <stp>127.0.0.1</stp>
        <stp>1</stp>
        <stp>N</stp>
        <stp>40486</stp>
        <stp>1</stp>
        <stp>PerDevice</stp>
        <stp>502</stp>
        <tr r="AY22" s="1"/>
      </tp>
      <tp t="s">
        <v>84</v>
        <stp/>
        <stp>127.0.0.1</stp>
        <stp>1</stp>
        <stp>N</stp>
        <stp>40485</stp>
        <stp>1</stp>
        <stp>PerDevice</stp>
        <stp>502</stp>
        <tr r="AY21" s="1"/>
      </tp>
      <tp t="s">
        <v>84</v>
        <stp/>
        <stp>127.0.0.1</stp>
        <stp>1</stp>
        <stp>N</stp>
        <stp>40484</stp>
        <stp>1</stp>
        <stp>PerDevice</stp>
        <stp>502</stp>
        <tr r="AY20" s="1"/>
      </tp>
      <tp t="s">
        <v>87</v>
        <stp/>
        <stp>127.0.0.1</stp>
        <stp>1</stp>
        <stp>N</stp>
        <stp>40479</stp>
        <stp>1</stp>
        <stp>PerDevice</stp>
        <stp>502</stp>
        <tr r="AX47" s="1"/>
      </tp>
      <tp t="s">
        <v>87</v>
        <stp/>
        <stp>127.0.0.1</stp>
        <stp>1</stp>
        <stp>N</stp>
        <stp>40478</stp>
        <stp>1</stp>
        <stp>PerDevice</stp>
        <stp>502</stp>
        <tr r="AX46" s="1"/>
      </tp>
      <tp t="s">
        <v>84</v>
        <stp/>
        <stp>127.0.0.1</stp>
        <stp>1</stp>
        <stp>N</stp>
        <stp>40473</stp>
        <stp>1</stp>
        <stp>PerDevice</stp>
        <stp>502</stp>
        <tr r="AX41" s="1"/>
      </tp>
      <tp t="s">
        <v>84</v>
        <stp/>
        <stp>127.0.0.1</stp>
        <stp>1</stp>
        <stp>N</stp>
        <stp>40472</stp>
        <stp>1</stp>
        <stp>PerDevice</stp>
        <stp>502</stp>
        <tr r="AX40" s="1"/>
      </tp>
      <tp t="s">
        <v>84</v>
        <stp/>
        <stp>127.0.0.1</stp>
        <stp>1</stp>
        <stp>N</stp>
        <stp>40471</stp>
        <stp>1</stp>
        <stp>PerDevice</stp>
        <stp>502</stp>
        <tr r="AX39" s="1"/>
      </tp>
      <tp t="s">
        <v>84</v>
        <stp/>
        <stp>127.0.0.1</stp>
        <stp>1</stp>
        <stp>N</stp>
        <stp>40470</stp>
        <stp>1</stp>
        <stp>PerDevice</stp>
        <stp>502</stp>
        <tr r="AX38" s="1"/>
      </tp>
      <tp t="s">
        <v>87</v>
        <stp/>
        <stp>127.0.0.1</stp>
        <stp>1</stp>
        <stp>N</stp>
        <stp>40477</stp>
        <stp>1</stp>
        <stp>PerDevice</stp>
        <stp>502</stp>
        <tr r="AX45" s="1"/>
      </tp>
      <tp t="s">
        <v>87</v>
        <stp/>
        <stp>127.0.0.1</stp>
        <stp>1</stp>
        <stp>N</stp>
        <stp>40476</stp>
        <stp>1</stp>
        <stp>PerDevice</stp>
        <stp>502</stp>
        <tr r="AX44" s="1"/>
      </tp>
      <tp t="s">
        <v>84</v>
        <stp/>
        <stp>127.0.0.1</stp>
        <stp>1</stp>
        <stp>N</stp>
        <stp>40475</stp>
        <stp>1</stp>
        <stp>PerDevice</stp>
        <stp>502</stp>
        <tr r="AX43" s="1"/>
      </tp>
      <tp t="s">
        <v>84</v>
        <stp/>
        <stp>127.0.0.1</stp>
        <stp>1</stp>
        <stp>N</stp>
        <stp>40474</stp>
        <stp>1</stp>
        <stp>PerDevice</stp>
        <stp>502</stp>
        <tr r="AX42" s="1"/>
      </tp>
      <tp t="s">
        <v>84</v>
        <stp/>
        <stp>127.0.0.1</stp>
        <stp>1</stp>
        <stp>N</stp>
        <stp>40469</stp>
        <stp>1</stp>
        <stp>PerDevice</stp>
        <stp>502</stp>
        <tr r="AX37" s="1"/>
      </tp>
      <tp t="s">
        <v>84</v>
        <stp/>
        <stp>127.0.0.1</stp>
        <stp>1</stp>
        <stp>N</stp>
        <stp>40468</stp>
        <stp>1</stp>
        <stp>PerDevice</stp>
        <stp>502</stp>
        <tr r="AX36" s="1"/>
      </tp>
      <tp t="s">
        <v>84</v>
        <stp/>
        <stp>127.0.0.1</stp>
        <stp>1</stp>
        <stp>N</stp>
        <stp>40463</stp>
        <stp>1</stp>
        <stp>PerDevice</stp>
        <stp>502</stp>
        <tr r="AX31" s="1"/>
      </tp>
      <tp t="s">
        <v>84</v>
        <stp/>
        <stp>127.0.0.1</stp>
        <stp>1</stp>
        <stp>N</stp>
        <stp>40462</stp>
        <stp>1</stp>
        <stp>PerDevice</stp>
        <stp>502</stp>
        <tr r="AX30" s="1"/>
      </tp>
      <tp t="s">
        <v>84</v>
        <stp/>
        <stp>127.0.0.1</stp>
        <stp>1</stp>
        <stp>N</stp>
        <stp>40461</stp>
        <stp>1</stp>
        <stp>PerDevice</stp>
        <stp>502</stp>
        <tr r="AX29" s="1"/>
      </tp>
      <tp t="s">
        <v>84</v>
        <stp/>
        <stp>127.0.0.1</stp>
        <stp>1</stp>
        <stp>N</stp>
        <stp>40460</stp>
        <stp>1</stp>
        <stp>PerDevice</stp>
        <stp>502</stp>
        <tr r="AX28" s="1"/>
      </tp>
      <tp t="s">
        <v>84</v>
        <stp/>
        <stp>127.0.0.1</stp>
        <stp>1</stp>
        <stp>N</stp>
        <stp>40467</stp>
        <stp>1</stp>
        <stp>PerDevice</stp>
        <stp>502</stp>
        <tr r="AX35" s="1"/>
      </tp>
      <tp t="s">
        <v>84</v>
        <stp/>
        <stp>127.0.0.1</stp>
        <stp>1</stp>
        <stp>N</stp>
        <stp>40466</stp>
        <stp>1</stp>
        <stp>PerDevice</stp>
        <stp>502</stp>
        <tr r="AX34" s="1"/>
      </tp>
      <tp t="s">
        <v>84</v>
        <stp/>
        <stp>127.0.0.1</stp>
        <stp>1</stp>
        <stp>N</stp>
        <stp>40465</stp>
        <stp>1</stp>
        <stp>PerDevice</stp>
        <stp>502</stp>
        <tr r="AX33" s="1"/>
      </tp>
      <tp t="s">
        <v>84</v>
        <stp/>
        <stp>127.0.0.1</stp>
        <stp>1</stp>
        <stp>N</stp>
        <stp>40464</stp>
        <stp>1</stp>
        <stp>PerDevice</stp>
        <stp>502</stp>
        <tr r="AX32" s="1"/>
      </tp>
      <tp t="s">
        <v>84</v>
        <stp/>
        <stp>127.0.0.1</stp>
        <stp>1</stp>
        <stp>N</stp>
        <stp>40459</stp>
        <stp>1</stp>
        <stp>PerDevice</stp>
        <stp>502</stp>
        <tr r="AX27" s="1"/>
      </tp>
      <tp t="s">
        <v>84</v>
        <stp/>
        <stp>127.0.0.1</stp>
        <stp>1</stp>
        <stp>N</stp>
        <stp>40458</stp>
        <stp>1</stp>
        <stp>PerDevice</stp>
        <stp>502</stp>
        <tr r="AX26" s="1"/>
      </tp>
      <tp t="s">
        <v>84</v>
        <stp/>
        <stp>127.0.0.1</stp>
        <stp>1</stp>
        <stp>N</stp>
        <stp>40453</stp>
        <stp>1</stp>
        <stp>PerDevice</stp>
        <stp>502</stp>
        <tr r="AX21" s="1"/>
      </tp>
      <tp t="s">
        <v>84</v>
        <stp/>
        <stp>127.0.0.1</stp>
        <stp>1</stp>
        <stp>N</stp>
        <stp>40452</stp>
        <stp>1</stp>
        <stp>PerDevice</stp>
        <stp>502</stp>
        <tr r="AX20" s="1"/>
      </tp>
      <tp t="s">
        <v>84</v>
        <stp/>
        <stp>127.0.0.1</stp>
        <stp>1</stp>
        <stp>N</stp>
        <stp>40451</stp>
        <stp>1</stp>
        <stp>PerDevice</stp>
        <stp>502</stp>
        <tr r="AX19" s="1"/>
      </tp>
      <tp t="s">
        <v>84</v>
        <stp/>
        <stp>127.0.0.1</stp>
        <stp>1</stp>
        <stp>N</stp>
        <stp>40450</stp>
        <stp>1</stp>
        <stp>PerDevice</stp>
        <stp>502</stp>
        <tr r="AX18" s="1"/>
      </tp>
      <tp t="s">
        <v>84</v>
        <stp/>
        <stp>127.0.0.1</stp>
        <stp>1</stp>
        <stp>N</stp>
        <stp>40457</stp>
        <stp>1</stp>
        <stp>PerDevice</stp>
        <stp>502</stp>
        <tr r="AX25" s="1"/>
      </tp>
      <tp t="s">
        <v>84</v>
        <stp/>
        <stp>127.0.0.1</stp>
        <stp>1</stp>
        <stp>N</stp>
        <stp>40456</stp>
        <stp>1</stp>
        <stp>PerDevice</stp>
        <stp>502</stp>
        <tr r="AX24" s="1"/>
      </tp>
      <tp t="s">
        <v>84</v>
        <stp/>
        <stp>127.0.0.1</stp>
        <stp>1</stp>
        <stp>N</stp>
        <stp>40455</stp>
        <stp>1</stp>
        <stp>PerDevice</stp>
        <stp>502</stp>
        <tr r="AX23" s="1"/>
      </tp>
      <tp t="s">
        <v>84</v>
        <stp/>
        <stp>127.0.0.1</stp>
        <stp>1</stp>
        <stp>N</stp>
        <stp>40454</stp>
        <stp>1</stp>
        <stp>PerDevice</stp>
        <stp>502</stp>
        <tr r="AX22" s="1"/>
      </tp>
      <tp t="s">
        <v>84</v>
        <stp/>
        <stp>127.0.0.1</stp>
        <stp>1</stp>
        <stp>N</stp>
        <stp>40449</stp>
        <stp>1</stp>
        <stp>PerDevice</stp>
        <stp>502</stp>
        <tr r="AX17" s="1"/>
      </tp>
      <tp t="s">
        <v>60</v>
        <stp/>
        <stp>127.0.0.1</stp>
        <stp>1</stp>
        <stp>N</stp>
        <stp>40443</stp>
        <stp>1</stp>
        <stp>PerDevice</stp>
        <stp>502</stp>
        <tr r="AW43" s="1"/>
      </tp>
      <tp t="s">
        <v>84</v>
        <stp/>
        <stp>127.0.0.1</stp>
        <stp>1</stp>
        <stp>N</stp>
        <stp>40442</stp>
        <stp>1</stp>
        <stp>PerDevice</stp>
        <stp>502</stp>
        <tr r="AW42" s="1"/>
      </tp>
      <tp t="s">
        <v>60</v>
        <stp/>
        <stp>127.0.0.1</stp>
        <stp>1</stp>
        <stp>N</stp>
        <stp>40441</stp>
        <stp>1</stp>
        <stp>PerDevice</stp>
        <stp>502</stp>
        <tr r="AW41" s="1"/>
      </tp>
      <tp t="s">
        <v>60</v>
        <stp/>
        <stp>127.0.0.1</stp>
        <stp>1</stp>
        <stp>N</stp>
        <stp>40440</stp>
        <stp>1</stp>
        <stp>PerDevice</stp>
        <stp>502</stp>
        <tr r="AW40" s="1"/>
      </tp>
      <tp t="s">
        <v>84</v>
        <stp/>
        <stp>127.0.0.1</stp>
        <stp>1</stp>
        <stp>N</stp>
        <stp>40447</stp>
        <stp>1</stp>
        <stp>PerDevice</stp>
        <stp>502</stp>
        <tr r="AW47" s="1"/>
      </tp>
      <tp t="s">
        <v>84</v>
        <stp/>
        <stp>127.0.0.1</stp>
        <stp>1</stp>
        <stp>N</stp>
        <stp>40446</stp>
        <stp>1</stp>
        <stp>PerDevice</stp>
        <stp>502</stp>
        <tr r="AW46" s="1"/>
      </tp>
      <tp t="s">
        <v>84</v>
        <stp/>
        <stp>127.0.0.1</stp>
        <stp>1</stp>
        <stp>N</stp>
        <stp>40445</stp>
        <stp>1</stp>
        <stp>PerDevice</stp>
        <stp>502</stp>
        <tr r="AW45" s="1"/>
      </tp>
      <tp t="s">
        <v>84</v>
        <stp/>
        <stp>127.0.0.1</stp>
        <stp>1</stp>
        <stp>N</stp>
        <stp>40444</stp>
        <stp>1</stp>
        <stp>PerDevice</stp>
        <stp>502</stp>
        <tr r="AW44" s="1"/>
      </tp>
      <tp t="s">
        <v>84</v>
        <stp/>
        <stp>127.0.0.1</stp>
        <stp>1</stp>
        <stp>N</stp>
        <stp>40439</stp>
        <stp>1</stp>
        <stp>PerDevice</stp>
        <stp>502</stp>
        <tr r="AW39" s="1"/>
      </tp>
      <tp t="s">
        <v>84</v>
        <stp/>
        <stp>127.0.0.1</stp>
        <stp>1</stp>
        <stp>N</stp>
        <stp>40438</stp>
        <stp>1</stp>
        <stp>PerDevice</stp>
        <stp>502</stp>
        <tr r="AW38" s="1"/>
      </tp>
      <tp t="s">
        <v>84</v>
        <stp/>
        <stp>127.0.0.1</stp>
        <stp>1</stp>
        <stp>N</stp>
        <stp>40433</stp>
        <stp>1</stp>
        <stp>PerDevice</stp>
        <stp>502</stp>
        <tr r="AW33" s="1"/>
      </tp>
      <tp t="s">
        <v>84</v>
        <stp/>
        <stp>127.0.0.1</stp>
        <stp>1</stp>
        <stp>N</stp>
        <stp>40432</stp>
        <stp>1</stp>
        <stp>PerDevice</stp>
        <stp>502</stp>
        <tr r="AW32" s="1"/>
      </tp>
      <tp t="s">
        <v>84</v>
        <stp/>
        <stp>127.0.0.1</stp>
        <stp>1</stp>
        <stp>N</stp>
        <stp>40431</stp>
        <stp>1</stp>
        <stp>PerDevice</stp>
        <stp>502</stp>
        <tr r="AW31" s="1"/>
      </tp>
      <tp t="s">
        <v>84</v>
        <stp/>
        <stp>127.0.0.1</stp>
        <stp>1</stp>
        <stp>N</stp>
        <stp>40430</stp>
        <stp>1</stp>
        <stp>PerDevice</stp>
        <stp>502</stp>
        <tr r="AW30" s="1"/>
      </tp>
      <tp t="s">
        <v>84</v>
        <stp/>
        <stp>127.0.0.1</stp>
        <stp>1</stp>
        <stp>N</stp>
        <stp>40437</stp>
        <stp>1</stp>
        <stp>PerDevice</stp>
        <stp>502</stp>
        <tr r="AW37" s="1"/>
      </tp>
      <tp t="s">
        <v>84</v>
        <stp/>
        <stp>127.0.0.1</stp>
        <stp>1</stp>
        <stp>N</stp>
        <stp>40436</stp>
        <stp>1</stp>
        <stp>PerDevice</stp>
        <stp>502</stp>
        <tr r="AW36" s="1"/>
      </tp>
      <tp t="s">
        <v>84</v>
        <stp/>
        <stp>127.0.0.1</stp>
        <stp>1</stp>
        <stp>N</stp>
        <stp>40435</stp>
        <stp>1</stp>
        <stp>PerDevice</stp>
        <stp>502</stp>
        <tr r="AW35" s="1"/>
      </tp>
      <tp t="s">
        <v>84</v>
        <stp/>
        <stp>127.0.0.1</stp>
        <stp>1</stp>
        <stp>N</stp>
        <stp>40434</stp>
        <stp>1</stp>
        <stp>PerDevice</stp>
        <stp>502</stp>
        <tr r="AW34" s="1"/>
      </tp>
      <tp t="s">
        <v>60</v>
        <stp/>
        <stp>127.0.0.1</stp>
        <stp>1</stp>
        <stp>N</stp>
        <stp>40429</stp>
        <stp>1</stp>
        <stp>PerDevice</stp>
        <stp>502</stp>
        <tr r="AW29" s="1"/>
      </tp>
      <tp t="s">
        <v>84</v>
        <stp/>
        <stp>127.0.0.1</stp>
        <stp>1</stp>
        <stp>N</stp>
        <stp>40428</stp>
        <stp>1</stp>
        <stp>PerDevice</stp>
        <stp>502</stp>
        <tr r="AW28" s="1"/>
      </tp>
      <tp t="s">
        <v>87</v>
        <stp/>
        <stp>127.0.0.1</stp>
        <stp>1</stp>
        <stp>N</stp>
        <stp>40423</stp>
        <stp>1</stp>
        <stp>PerDevice</stp>
        <stp>502</stp>
        <tr r="AW23" s="1"/>
      </tp>
      <tp t="s">
        <v>87</v>
        <stp/>
        <stp>127.0.0.1</stp>
        <stp>1</stp>
        <stp>N</stp>
        <stp>40422</stp>
        <stp>1</stp>
        <stp>PerDevice</stp>
        <stp>502</stp>
        <tr r="AW22" s="1"/>
      </tp>
      <tp t="s">
        <v>87</v>
        <stp/>
        <stp>127.0.0.1</stp>
        <stp>1</stp>
        <stp>N</stp>
        <stp>40421</stp>
        <stp>1</stp>
        <stp>PerDevice</stp>
        <stp>502</stp>
        <tr r="AW21" s="1"/>
      </tp>
      <tp t="s">
        <v>87</v>
        <stp/>
        <stp>127.0.0.1</stp>
        <stp>1</stp>
        <stp>N</stp>
        <stp>40420</stp>
        <stp>1</stp>
        <stp>PerDevice</stp>
        <stp>502</stp>
        <tr r="AW20" s="1"/>
      </tp>
      <tp t="s">
        <v>60</v>
        <stp/>
        <stp>127.0.0.1</stp>
        <stp>1</stp>
        <stp>N</stp>
        <stp>40427</stp>
        <stp>1</stp>
        <stp>PerDevice</stp>
        <stp>502</stp>
        <tr r="AW27" s="1"/>
      </tp>
      <tp t="s">
        <v>60</v>
        <stp/>
        <stp>127.0.0.1</stp>
        <stp>1</stp>
        <stp>N</stp>
        <stp>40426</stp>
        <stp>1</stp>
        <stp>PerDevice</stp>
        <stp>502</stp>
        <tr r="AW26" s="1"/>
      </tp>
      <tp t="s">
        <v>87</v>
        <stp/>
        <stp>127.0.0.1</stp>
        <stp>1</stp>
        <stp>N</stp>
        <stp>40425</stp>
        <stp>1</stp>
        <stp>PerDevice</stp>
        <stp>502</stp>
        <tr r="AW25" s="1"/>
      </tp>
      <tp t="s">
        <v>87</v>
        <stp/>
        <stp>127.0.0.1</stp>
        <stp>1</stp>
        <stp>N</stp>
        <stp>40424</stp>
        <stp>1</stp>
        <stp>PerDevice</stp>
        <stp>502</stp>
        <tr r="AW24" s="1"/>
      </tp>
      <tp t="s">
        <v>84</v>
        <stp/>
        <stp>127.0.0.1</stp>
        <stp>1</stp>
        <stp>N</stp>
        <stp>40419</stp>
        <stp>1</stp>
        <stp>PerDevice</stp>
        <stp>502</stp>
        <tr r="AW19" s="1"/>
      </tp>
      <tp t="s">
        <v>84</v>
        <stp/>
        <stp>127.0.0.1</stp>
        <stp>1</stp>
        <stp>N</stp>
        <stp>40418</stp>
        <stp>1</stp>
        <stp>PerDevice</stp>
        <stp>502</stp>
        <tr r="AW18" s="1"/>
      </tp>
      <tp t="s">
        <v>87</v>
        <stp/>
        <stp>127.0.0.1</stp>
        <stp>1</stp>
        <stp>N</stp>
        <stp>40413</stp>
        <stp>1</stp>
        <stp>PerDevice</stp>
        <stp>502</stp>
        <tr r="AV45" s="1"/>
      </tp>
      <tp t="s">
        <v>60</v>
        <stp/>
        <stp>127.0.0.1</stp>
        <stp>1</stp>
        <stp>N</stp>
        <stp>40412</stp>
        <stp>1</stp>
        <stp>PerDevice</stp>
        <stp>502</stp>
        <tr r="AV44" s="1"/>
      </tp>
      <tp t="s">
        <v>87</v>
        <stp/>
        <stp>127.0.0.1</stp>
        <stp>1</stp>
        <stp>N</stp>
        <stp>40411</stp>
        <stp>1</stp>
        <stp>PerDevice</stp>
        <stp>502</stp>
        <tr r="AV43" s="1"/>
      </tp>
      <tp t="s">
        <v>87</v>
        <stp/>
        <stp>127.0.0.1</stp>
        <stp>1</stp>
        <stp>N</stp>
        <stp>40410</stp>
        <stp>1</stp>
        <stp>PerDevice</stp>
        <stp>502</stp>
        <tr r="AV42" s="1"/>
      </tp>
      <tp t="s">
        <v>84</v>
        <stp/>
        <stp>127.0.0.1</stp>
        <stp>1</stp>
        <stp>N</stp>
        <stp>40417</stp>
        <stp>1</stp>
        <stp>PerDevice</stp>
        <stp>502</stp>
        <tr r="AW17" s="1"/>
      </tp>
      <tp t="s">
        <v>60</v>
        <stp/>
        <stp>127.0.0.1</stp>
        <stp>1</stp>
        <stp>N</stp>
        <stp>40415</stp>
        <stp>1</stp>
        <stp>PerDevice</stp>
        <stp>502</stp>
        <tr r="AV47" s="1"/>
      </tp>
      <tp t="s">
        <v>60</v>
        <stp/>
        <stp>127.0.0.1</stp>
        <stp>1</stp>
        <stp>N</stp>
        <stp>40414</stp>
        <stp>1</stp>
        <stp>PerDevice</stp>
        <stp>502</stp>
        <tr r="AV46" s="1"/>
      </tp>
      <tp t="s">
        <v>87</v>
        <stp/>
        <stp>127.0.0.1</stp>
        <stp>1</stp>
        <stp>N</stp>
        <stp>40409</stp>
        <stp>1</stp>
        <stp>PerDevice</stp>
        <stp>502</stp>
        <tr r="AV41" s="1"/>
      </tp>
      <tp t="s">
        <v>87</v>
        <stp/>
        <stp>127.0.0.1</stp>
        <stp>1</stp>
        <stp>N</stp>
        <stp>40408</stp>
        <stp>1</stp>
        <stp>PerDevice</stp>
        <stp>502</stp>
        <tr r="AV40" s="1"/>
      </tp>
      <tp t="s">
        <v>84</v>
        <stp/>
        <stp>127.0.0.1</stp>
        <stp>1</stp>
        <stp>N</stp>
        <stp>40403</stp>
        <stp>1</stp>
        <stp>PerDevice</stp>
        <stp>502</stp>
        <tr r="AV35" s="1"/>
      </tp>
      <tp t="s">
        <v>84</v>
        <stp/>
        <stp>127.0.0.1</stp>
        <stp>1</stp>
        <stp>N</stp>
        <stp>40402</stp>
        <stp>1</stp>
        <stp>PerDevice</stp>
        <stp>502</stp>
        <tr r="AV34" s="1"/>
      </tp>
      <tp t="s">
        <v>84</v>
        <stp/>
        <stp>127.0.0.1</stp>
        <stp>1</stp>
        <stp>N</stp>
        <stp>40401</stp>
        <stp>1</stp>
        <stp>PerDevice</stp>
        <stp>502</stp>
        <tr r="AV33" s="1"/>
      </tp>
      <tp t="s">
        <v>84</v>
        <stp/>
        <stp>127.0.0.1</stp>
        <stp>1</stp>
        <stp>N</stp>
        <stp>40400</stp>
        <stp>1</stp>
        <stp>PerDevice</stp>
        <stp>502</stp>
        <tr r="AV32" s="1"/>
      </tp>
      <tp t="s">
        <v>84</v>
        <stp/>
        <stp>127.0.0.1</stp>
        <stp>1</stp>
        <stp>N</stp>
        <stp>40407</stp>
        <stp>1</stp>
        <stp>PerDevice</stp>
        <stp>502</stp>
        <tr r="AV39" s="1"/>
      </tp>
      <tp t="s">
        <v>84</v>
        <stp/>
        <stp>127.0.0.1</stp>
        <stp>1</stp>
        <stp>N</stp>
        <stp>40406</stp>
        <stp>1</stp>
        <stp>PerDevice</stp>
        <stp>502</stp>
        <tr r="AV38" s="1"/>
      </tp>
      <tp t="s">
        <v>84</v>
        <stp/>
        <stp>127.0.0.1</stp>
        <stp>1</stp>
        <stp>N</stp>
        <stp>40405</stp>
        <stp>1</stp>
        <stp>PerDevice</stp>
        <stp>502</stp>
        <tr r="AV37" s="1"/>
      </tp>
      <tp t="s">
        <v>84</v>
        <stp/>
        <stp>127.0.0.1</stp>
        <stp>1</stp>
        <stp>N</stp>
        <stp>40404</stp>
        <stp>1</stp>
        <stp>PerDevice</stp>
        <stp>502</stp>
        <tr r="AV36" s="1"/>
      </tp>
      <tp t="s">
        <v>60</v>
        <stp/>
        <stp>127.0.0.1</stp>
        <stp>1</stp>
        <stp>N</stp>
        <stp>40599</stp>
        <stp>1</stp>
        <stp>PerDevice</stp>
        <stp>502</stp>
        <tr r="BB39" s="1"/>
      </tp>
      <tp t="s">
        <v>60</v>
        <stp/>
        <stp>127.0.0.1</stp>
        <stp>1</stp>
        <stp>N</stp>
        <stp>40598</stp>
        <stp>1</stp>
        <stp>PerDevice</stp>
        <stp>502</stp>
        <tr r="BB38" s="1"/>
      </tp>
      <tp t="s">
        <v>87</v>
        <stp/>
        <stp>127.0.0.1</stp>
        <stp>1</stp>
        <stp>N</stp>
        <stp>40593</stp>
        <stp>1</stp>
        <stp>PerDevice</stp>
        <stp>502</stp>
        <tr r="BB33" s="1"/>
      </tp>
      <tp t="s">
        <v>87</v>
        <stp/>
        <stp>127.0.0.1</stp>
        <stp>1</stp>
        <stp>N</stp>
        <stp>40592</stp>
        <stp>1</stp>
        <stp>PerDevice</stp>
        <stp>502</stp>
        <tr r="BB32" s="1"/>
      </tp>
      <tp t="s">
        <v>87</v>
        <stp/>
        <stp>127.0.0.1</stp>
        <stp>1</stp>
        <stp>N</stp>
        <stp>40591</stp>
        <stp>1</stp>
        <stp>PerDevice</stp>
        <stp>502</stp>
        <tr r="BB31" s="1"/>
      </tp>
      <tp t="s">
        <v>87</v>
        <stp/>
        <stp>127.0.0.1</stp>
        <stp>1</stp>
        <stp>N</stp>
        <stp>40590</stp>
        <stp>1</stp>
        <stp>PerDevice</stp>
        <stp>502</stp>
        <tr r="BB30" s="1"/>
      </tp>
      <tp t="s">
        <v>60</v>
        <stp/>
        <stp>127.0.0.1</stp>
        <stp>1</stp>
        <stp>N</stp>
        <stp>40597</stp>
        <stp>1</stp>
        <stp>PerDevice</stp>
        <stp>502</stp>
        <tr r="BB37" s="1"/>
      </tp>
      <tp t="s">
        <v>60</v>
        <stp/>
        <stp>127.0.0.1</stp>
        <stp>1</stp>
        <stp>N</stp>
        <stp>40596</stp>
        <stp>1</stp>
        <stp>PerDevice</stp>
        <stp>502</stp>
        <tr r="BB36" s="1"/>
      </tp>
      <tp t="s">
        <v>87</v>
        <stp/>
        <stp>127.0.0.1</stp>
        <stp>1</stp>
        <stp>N</stp>
        <stp>40595</stp>
        <stp>1</stp>
        <stp>PerDevice</stp>
        <stp>502</stp>
        <tr r="BB35" s="1"/>
      </tp>
      <tp t="s">
        <v>87</v>
        <stp/>
        <stp>127.0.0.1</stp>
        <stp>1</stp>
        <stp>N</stp>
        <stp>40594</stp>
        <stp>1</stp>
        <stp>PerDevice</stp>
        <stp>502</stp>
        <tr r="BB34" s="1"/>
      </tp>
      <tp t="s">
        <v>84</v>
        <stp/>
        <stp>127.0.0.1</stp>
        <stp>1</stp>
        <stp>N</stp>
        <stp>40589</stp>
        <stp>1</stp>
        <stp>PerDevice</stp>
        <stp>502</stp>
        <tr r="BB29" s="1"/>
      </tp>
      <tp t="s">
        <v>84</v>
        <stp/>
        <stp>127.0.0.1</stp>
        <stp>1</stp>
        <stp>N</stp>
        <stp>40588</stp>
        <stp>1</stp>
        <stp>PerDevice</stp>
        <stp>502</stp>
        <tr r="BB28" s="1"/>
      </tp>
      <tp t="s">
        <v>84</v>
        <stp/>
        <stp>127.0.0.1</stp>
        <stp>1</stp>
        <stp>N</stp>
        <stp>40583</stp>
        <stp>1</stp>
        <stp>PerDevice</stp>
        <stp>502</stp>
        <tr r="BB23" s="1"/>
      </tp>
      <tp t="s">
        <v>84</v>
        <stp/>
        <stp>127.0.0.1</stp>
        <stp>1</stp>
        <stp>N</stp>
        <stp>40582</stp>
        <stp>1</stp>
        <stp>PerDevice</stp>
        <stp>502</stp>
        <tr r="BB22" s="1"/>
      </tp>
      <tp t="s">
        <v>84</v>
        <stp/>
        <stp>127.0.0.1</stp>
        <stp>1</stp>
        <stp>N</stp>
        <stp>40581</stp>
        <stp>1</stp>
        <stp>PerDevice</stp>
        <stp>502</stp>
        <tr r="BB21" s="1"/>
      </tp>
      <tp t="s">
        <v>84</v>
        <stp/>
        <stp>127.0.0.1</stp>
        <stp>1</stp>
        <stp>N</stp>
        <stp>40580</stp>
        <stp>1</stp>
        <stp>PerDevice</stp>
        <stp>502</stp>
        <tr r="BB20" s="1"/>
      </tp>
      <tp t="s">
        <v>84</v>
        <stp/>
        <stp>127.0.0.1</stp>
        <stp>1</stp>
        <stp>N</stp>
        <stp>40587</stp>
        <stp>1</stp>
        <stp>PerDevice</stp>
        <stp>502</stp>
        <tr r="BB27" s="1"/>
      </tp>
      <tp t="s">
        <v>84</v>
        <stp/>
        <stp>127.0.0.1</stp>
        <stp>1</stp>
        <stp>N</stp>
        <stp>40586</stp>
        <stp>1</stp>
        <stp>PerDevice</stp>
        <stp>502</stp>
        <tr r="BB26" s="1"/>
      </tp>
      <tp t="s">
        <v>84</v>
        <stp/>
        <stp>127.0.0.1</stp>
        <stp>1</stp>
        <stp>N</stp>
        <stp>40585</stp>
        <stp>1</stp>
        <stp>PerDevice</stp>
        <stp>502</stp>
        <tr r="BB25" s="1"/>
      </tp>
      <tp t="s">
        <v>84</v>
        <stp/>
        <stp>127.0.0.1</stp>
        <stp>1</stp>
        <stp>N</stp>
        <stp>40584</stp>
        <stp>1</stp>
        <stp>PerDevice</stp>
        <stp>502</stp>
        <tr r="BB24" s="1"/>
      </tp>
      <tp t="s">
        <v>87</v>
        <stp/>
        <stp>127.0.0.1</stp>
        <stp>1</stp>
        <stp>N</stp>
        <stp>40579</stp>
        <stp>1</stp>
        <stp>PerDevice</stp>
        <stp>502</stp>
        <tr r="BB19" s="1"/>
      </tp>
      <tp t="s">
        <v>87</v>
        <stp/>
        <stp>127.0.0.1</stp>
        <stp>1</stp>
        <stp>N</stp>
        <stp>40578</stp>
        <stp>1</stp>
        <stp>PerDevice</stp>
        <stp>502</stp>
        <tr r="BB18" s="1"/>
      </tp>
      <tp t="s">
        <v>84</v>
        <stp/>
        <stp>127.0.0.1</stp>
        <stp>1</stp>
        <stp>N</stp>
        <stp>40573</stp>
        <stp>1</stp>
        <stp>PerDevice</stp>
        <stp>502</stp>
        <tr r="BA45" s="1"/>
      </tp>
      <tp t="s">
        <v>84</v>
        <stp/>
        <stp>127.0.0.1</stp>
        <stp>1</stp>
        <stp>N</stp>
        <stp>40572</stp>
        <stp>1</stp>
        <stp>PerDevice</stp>
        <stp>502</stp>
        <tr r="BA44" s="1"/>
      </tp>
      <tp t="s">
        <v>84</v>
        <stp/>
        <stp>127.0.0.1</stp>
        <stp>1</stp>
        <stp>N</stp>
        <stp>40571</stp>
        <stp>1</stp>
        <stp>PerDevice</stp>
        <stp>502</stp>
        <tr r="BA43" s="1"/>
      </tp>
      <tp t="s">
        <v>84</v>
        <stp/>
        <stp>127.0.0.1</stp>
        <stp>1</stp>
        <stp>N</stp>
        <stp>40570</stp>
        <stp>1</stp>
        <stp>PerDevice</stp>
        <stp>502</stp>
        <tr r="BA42" s="1"/>
      </tp>
      <tp t="s">
        <v>87</v>
        <stp/>
        <stp>127.0.0.1</stp>
        <stp>1</stp>
        <stp>N</stp>
        <stp>40577</stp>
        <stp>1</stp>
        <stp>PerDevice</stp>
        <stp>502</stp>
        <tr r="BB17" s="1"/>
      </tp>
      <tp t="s">
        <v>84</v>
        <stp/>
        <stp>127.0.0.1</stp>
        <stp>1</stp>
        <stp>N</stp>
        <stp>40575</stp>
        <stp>1</stp>
        <stp>PerDevice</stp>
        <stp>502</stp>
        <tr r="BA47" s="1"/>
      </tp>
      <tp t="s">
        <v>84</v>
        <stp/>
        <stp>127.0.0.1</stp>
        <stp>1</stp>
        <stp>N</stp>
        <stp>40574</stp>
        <stp>1</stp>
        <stp>PerDevice</stp>
        <stp>502</stp>
        <tr r="BA46" s="1"/>
      </tp>
      <tp t="s">
        <v>84</v>
        <stp/>
        <stp>127.0.0.1</stp>
        <stp>1</stp>
        <stp>N</stp>
        <stp>40569</stp>
        <stp>1</stp>
        <stp>PerDevice</stp>
        <stp>502</stp>
        <tr r="BA41" s="1"/>
      </tp>
      <tp t="s">
        <v>84</v>
        <stp/>
        <stp>127.0.0.1</stp>
        <stp>1</stp>
        <stp>N</stp>
        <stp>40568</stp>
        <stp>1</stp>
        <stp>PerDevice</stp>
        <stp>502</stp>
        <tr r="BA40" s="1"/>
      </tp>
      <tp t="s">
        <v>84</v>
        <stp/>
        <stp>127.0.0.1</stp>
        <stp>1</stp>
        <stp>N</stp>
        <stp>40563</stp>
        <stp>1</stp>
        <stp>PerDevice</stp>
        <stp>502</stp>
        <tr r="BA35" s="1"/>
      </tp>
      <tp t="s">
        <v>84</v>
        <stp/>
        <stp>127.0.0.1</stp>
        <stp>1</stp>
        <stp>N</stp>
        <stp>40562</stp>
        <stp>1</stp>
        <stp>PerDevice</stp>
        <stp>502</stp>
        <tr r="BA34" s="1"/>
      </tp>
      <tp t="s">
        <v>84</v>
        <stp/>
        <stp>127.0.0.1</stp>
        <stp>1</stp>
        <stp>N</stp>
        <stp>40561</stp>
        <stp>1</stp>
        <stp>PerDevice</stp>
        <stp>502</stp>
        <tr r="BA33" s="1"/>
      </tp>
      <tp t="s">
        <v>84</v>
        <stp/>
        <stp>127.0.0.1</stp>
        <stp>1</stp>
        <stp>N</stp>
        <stp>40560</stp>
        <stp>1</stp>
        <stp>PerDevice</stp>
        <stp>502</stp>
        <tr r="BA32" s="1"/>
      </tp>
      <tp t="s">
        <v>84</v>
        <stp/>
        <stp>127.0.0.1</stp>
        <stp>1</stp>
        <stp>N</stp>
        <stp>40567</stp>
        <stp>1</stp>
        <stp>PerDevice</stp>
        <stp>502</stp>
        <tr r="BA39" s="1"/>
      </tp>
      <tp t="s">
        <v>84</v>
        <stp/>
        <stp>127.0.0.1</stp>
        <stp>1</stp>
        <stp>N</stp>
        <stp>40566</stp>
        <stp>1</stp>
        <stp>PerDevice</stp>
        <stp>502</stp>
        <tr r="BA38" s="1"/>
      </tp>
      <tp t="s">
        <v>84</v>
        <stp/>
        <stp>127.0.0.1</stp>
        <stp>1</stp>
        <stp>N</stp>
        <stp>40565</stp>
        <stp>1</stp>
        <stp>PerDevice</stp>
        <stp>502</stp>
        <tr r="BA37" s="1"/>
      </tp>
      <tp t="s">
        <v>84</v>
        <stp/>
        <stp>127.0.0.1</stp>
        <stp>1</stp>
        <stp>N</stp>
        <stp>40564</stp>
        <stp>1</stp>
        <stp>PerDevice</stp>
        <stp>502</stp>
        <tr r="BA36" s="1"/>
      </tp>
      <tp t="s">
        <v>84</v>
        <stp/>
        <stp>127.0.0.1</stp>
        <stp>1</stp>
        <stp>N</stp>
        <stp>40559</stp>
        <stp>1</stp>
        <stp>PerDevice</stp>
        <stp>502</stp>
        <tr r="BA31" s="1"/>
      </tp>
      <tp t="s">
        <v>84</v>
        <stp/>
        <stp>127.0.0.1</stp>
        <stp>1</stp>
        <stp>N</stp>
        <stp>40558</stp>
        <stp>1</stp>
        <stp>PerDevice</stp>
        <stp>502</stp>
        <tr r="BA30" s="1"/>
      </tp>
      <tp t="s">
        <v>84</v>
        <stp/>
        <stp>127.0.0.1</stp>
        <stp>1</stp>
        <stp>N</stp>
        <stp>40553</stp>
        <stp>1</stp>
        <stp>PerDevice</stp>
        <stp>502</stp>
        <tr r="BA25" s="1"/>
      </tp>
      <tp t="s">
        <v>84</v>
        <stp/>
        <stp>127.0.0.1</stp>
        <stp>1</stp>
        <stp>N</stp>
        <stp>40552</stp>
        <stp>1</stp>
        <stp>PerDevice</stp>
        <stp>502</stp>
        <tr r="BA24" s="1"/>
      </tp>
      <tp t="s">
        <v>84</v>
        <stp/>
        <stp>127.0.0.1</stp>
        <stp>1</stp>
        <stp>N</stp>
        <stp>40551</stp>
        <stp>1</stp>
        <stp>PerDevice</stp>
        <stp>502</stp>
        <tr r="BA23" s="1"/>
      </tp>
      <tp t="s">
        <v>84</v>
        <stp/>
        <stp>127.0.0.1</stp>
        <stp>1</stp>
        <stp>N</stp>
        <stp>40550</stp>
        <stp>1</stp>
        <stp>PerDevice</stp>
        <stp>502</stp>
        <tr r="BA22" s="1"/>
      </tp>
      <tp t="s">
        <v>84</v>
        <stp/>
        <stp>127.0.0.1</stp>
        <stp>1</stp>
        <stp>N</stp>
        <stp>40557</stp>
        <stp>1</stp>
        <stp>PerDevice</stp>
        <stp>502</stp>
        <tr r="BA29" s="1"/>
      </tp>
      <tp t="s">
        <v>84</v>
        <stp/>
        <stp>127.0.0.1</stp>
        <stp>1</stp>
        <stp>N</stp>
        <stp>40556</stp>
        <stp>1</stp>
        <stp>PerDevice</stp>
        <stp>502</stp>
        <tr r="BA28" s="1"/>
      </tp>
      <tp t="s">
        <v>84</v>
        <stp/>
        <stp>127.0.0.1</stp>
        <stp>1</stp>
        <stp>N</stp>
        <stp>40555</stp>
        <stp>1</stp>
        <stp>PerDevice</stp>
        <stp>502</stp>
        <tr r="BA27" s="1"/>
      </tp>
      <tp t="s">
        <v>84</v>
        <stp/>
        <stp>127.0.0.1</stp>
        <stp>1</stp>
        <stp>N</stp>
        <stp>40554</stp>
        <stp>1</stp>
        <stp>PerDevice</stp>
        <stp>502</stp>
        <tr r="BA26" s="1"/>
      </tp>
      <tp t="s">
        <v>84</v>
        <stp/>
        <stp>127.0.0.1</stp>
        <stp>1</stp>
        <stp>N</stp>
        <stp>40549</stp>
        <stp>1</stp>
        <stp>PerDevice</stp>
        <stp>502</stp>
        <tr r="BA21" s="1"/>
      </tp>
      <tp t="s">
        <v>84</v>
        <stp/>
        <stp>127.0.0.1</stp>
        <stp>1</stp>
        <stp>N</stp>
        <stp>40548</stp>
        <stp>1</stp>
        <stp>PerDevice</stp>
        <stp>502</stp>
        <tr r="BA20" s="1"/>
      </tp>
      <tp t="s">
        <v>60</v>
        <stp/>
        <stp>127.0.0.1</stp>
        <stp>1</stp>
        <stp>N</stp>
        <stp>40543</stp>
        <stp>1</stp>
        <stp>PerDevice</stp>
        <stp>502</stp>
        <tr r="AZ47" s="1"/>
      </tp>
      <tp t="s">
        <v>84</v>
        <stp/>
        <stp>127.0.0.1</stp>
        <stp>1</stp>
        <stp>N</stp>
        <stp>40542</stp>
        <stp>1</stp>
        <stp>PerDevice</stp>
        <stp>502</stp>
        <tr r="AZ46" s="1"/>
      </tp>
      <tp t="s">
        <v>60</v>
        <stp/>
        <stp>127.0.0.1</stp>
        <stp>1</stp>
        <stp>N</stp>
        <stp>40541</stp>
        <stp>1</stp>
        <stp>PerDevice</stp>
        <stp>502</stp>
        <tr r="AZ45" s="1"/>
      </tp>
      <tp t="s">
        <v>60</v>
        <stp/>
        <stp>127.0.0.1</stp>
        <stp>1</stp>
        <stp>N</stp>
        <stp>40540</stp>
        <stp>1</stp>
        <stp>PerDevice</stp>
        <stp>502</stp>
        <tr r="AZ44" s="1"/>
      </tp>
      <tp t="s">
        <v>84</v>
        <stp/>
        <stp>127.0.0.1</stp>
        <stp>1</stp>
        <stp>N</stp>
        <stp>40547</stp>
        <stp>1</stp>
        <stp>PerDevice</stp>
        <stp>502</stp>
        <tr r="BA19" s="1"/>
      </tp>
      <tp t="s">
        <v>84</v>
        <stp/>
        <stp>127.0.0.1</stp>
        <stp>1</stp>
        <stp>N</stp>
        <stp>40546</stp>
        <stp>1</stp>
        <stp>PerDevice</stp>
        <stp>502</stp>
        <tr r="BA18" s="1"/>
      </tp>
      <tp t="s">
        <v>84</v>
        <stp/>
        <stp>127.0.0.1</stp>
        <stp>1</stp>
        <stp>N</stp>
        <stp>40545</stp>
        <stp>1</stp>
        <stp>PerDevice</stp>
        <stp>502</stp>
        <tr r="BA17" s="1"/>
      </tp>
      <tp t="s">
        <v>84</v>
        <stp/>
        <stp>127.0.0.1</stp>
        <stp>1</stp>
        <stp>N</stp>
        <stp>40539</stp>
        <stp>1</stp>
        <stp>PerDevice</stp>
        <stp>502</stp>
        <tr r="AZ43" s="1"/>
      </tp>
      <tp t="s">
        <v>84</v>
        <stp/>
        <stp>127.0.0.1</stp>
        <stp>1</stp>
        <stp>N</stp>
        <stp>40538</stp>
        <stp>1</stp>
        <stp>PerDevice</stp>
        <stp>502</stp>
        <tr r="AZ42" s="1"/>
      </tp>
      <tp t="s">
        <v>84</v>
        <stp/>
        <stp>127.0.0.1</stp>
        <stp>1</stp>
        <stp>N</stp>
        <stp>40533</stp>
        <stp>1</stp>
        <stp>PerDevice</stp>
        <stp>502</stp>
        <tr r="AZ37" s="1"/>
      </tp>
      <tp t="s">
        <v>84</v>
        <stp/>
        <stp>127.0.0.1</stp>
        <stp>1</stp>
        <stp>N</stp>
        <stp>40532</stp>
        <stp>1</stp>
        <stp>PerDevice</stp>
        <stp>502</stp>
        <tr r="AZ36" s="1"/>
      </tp>
      <tp t="s">
        <v>84</v>
        <stp/>
        <stp>127.0.0.1</stp>
        <stp>1</stp>
        <stp>N</stp>
        <stp>40531</stp>
        <stp>1</stp>
        <stp>PerDevice</stp>
        <stp>502</stp>
        <tr r="AZ35" s="1"/>
      </tp>
      <tp t="s">
        <v>84</v>
        <stp/>
        <stp>127.0.0.1</stp>
        <stp>1</stp>
        <stp>N</stp>
        <stp>40530</stp>
        <stp>1</stp>
        <stp>PerDevice</stp>
        <stp>502</stp>
        <tr r="AZ34" s="1"/>
      </tp>
      <tp t="s">
        <v>84</v>
        <stp/>
        <stp>127.0.0.1</stp>
        <stp>1</stp>
        <stp>N</stp>
        <stp>40537</stp>
        <stp>1</stp>
        <stp>PerDevice</stp>
        <stp>502</stp>
        <tr r="AZ41" s="1"/>
      </tp>
      <tp t="s">
        <v>84</v>
        <stp/>
        <stp>127.0.0.1</stp>
        <stp>1</stp>
        <stp>N</stp>
        <stp>40536</stp>
        <stp>1</stp>
        <stp>PerDevice</stp>
        <stp>502</stp>
        <tr r="AZ40" s="1"/>
      </tp>
      <tp t="s">
        <v>84</v>
        <stp/>
        <stp>127.0.0.1</stp>
        <stp>1</stp>
        <stp>N</stp>
        <stp>40535</stp>
        <stp>1</stp>
        <stp>PerDevice</stp>
        <stp>502</stp>
        <tr r="AZ39" s="1"/>
      </tp>
      <tp t="s">
        <v>84</v>
        <stp/>
        <stp>127.0.0.1</stp>
        <stp>1</stp>
        <stp>N</stp>
        <stp>40534</stp>
        <stp>1</stp>
        <stp>PerDevice</stp>
        <stp>502</stp>
        <tr r="AZ38" s="1"/>
      </tp>
      <tp t="s">
        <v>60</v>
        <stp/>
        <stp>127.0.0.1</stp>
        <stp>1</stp>
        <stp>N</stp>
        <stp>40529</stp>
        <stp>1</stp>
        <stp>PerDevice</stp>
        <stp>502</stp>
        <tr r="AZ33" s="1"/>
      </tp>
      <tp t="s">
        <v>84</v>
        <stp/>
        <stp>127.0.0.1</stp>
        <stp>1</stp>
        <stp>N</stp>
        <stp>40528</stp>
        <stp>1</stp>
        <stp>PerDevice</stp>
        <stp>502</stp>
        <tr r="AZ32" s="1"/>
      </tp>
      <tp t="s">
        <v>87</v>
        <stp/>
        <stp>127.0.0.1</stp>
        <stp>1</stp>
        <stp>N</stp>
        <stp>40523</stp>
        <stp>1</stp>
        <stp>PerDevice</stp>
        <stp>502</stp>
        <tr r="AZ27" s="1"/>
      </tp>
      <tp t="s">
        <v>87</v>
        <stp/>
        <stp>127.0.0.1</stp>
        <stp>1</stp>
        <stp>N</stp>
        <stp>40522</stp>
        <stp>1</stp>
        <stp>PerDevice</stp>
        <stp>502</stp>
        <tr r="AZ26" s="1"/>
      </tp>
      <tp t="s">
        <v>87</v>
        <stp/>
        <stp>127.0.0.1</stp>
        <stp>1</stp>
        <stp>N</stp>
        <stp>40521</stp>
        <stp>1</stp>
        <stp>PerDevice</stp>
        <stp>502</stp>
        <tr r="AZ25" s="1"/>
      </tp>
      <tp t="s">
        <v>87</v>
        <stp/>
        <stp>127.0.0.1</stp>
        <stp>1</stp>
        <stp>N</stp>
        <stp>40520</stp>
        <stp>1</stp>
        <stp>PerDevice</stp>
        <stp>502</stp>
        <tr r="AZ24" s="1"/>
      </tp>
      <tp t="s">
        <v>60</v>
        <stp/>
        <stp>127.0.0.1</stp>
        <stp>1</stp>
        <stp>N</stp>
        <stp>40527</stp>
        <stp>1</stp>
        <stp>PerDevice</stp>
        <stp>502</stp>
        <tr r="AZ31" s="1"/>
      </tp>
      <tp t="s">
        <v>60</v>
        <stp/>
        <stp>127.0.0.1</stp>
        <stp>1</stp>
        <stp>N</stp>
        <stp>40526</stp>
        <stp>1</stp>
        <stp>PerDevice</stp>
        <stp>502</stp>
        <tr r="AZ30" s="1"/>
      </tp>
      <tp t="s">
        <v>87</v>
        <stp/>
        <stp>127.0.0.1</stp>
        <stp>1</stp>
        <stp>N</stp>
        <stp>40525</stp>
        <stp>1</stp>
        <stp>PerDevice</stp>
        <stp>502</stp>
        <tr r="AZ29" s="1"/>
      </tp>
      <tp t="s">
        <v>87</v>
        <stp/>
        <stp>127.0.0.1</stp>
        <stp>1</stp>
        <stp>N</stp>
        <stp>40524</stp>
        <stp>1</stp>
        <stp>PerDevice</stp>
        <stp>502</stp>
        <tr r="AZ28" s="1"/>
      </tp>
      <tp t="s">
        <v>84</v>
        <stp/>
        <stp>127.0.0.1</stp>
        <stp>1</stp>
        <stp>N</stp>
        <stp>40519</stp>
        <stp>1</stp>
        <stp>PerDevice</stp>
        <stp>502</stp>
        <tr r="AZ23" s="1"/>
      </tp>
      <tp t="s">
        <v>84</v>
        <stp/>
        <stp>127.0.0.1</stp>
        <stp>1</stp>
        <stp>N</stp>
        <stp>40518</stp>
        <stp>1</stp>
        <stp>PerDevice</stp>
        <stp>502</stp>
        <tr r="AZ22" s="1"/>
      </tp>
      <tp t="s">
        <v>87</v>
        <stp/>
        <stp>127.0.0.1</stp>
        <stp>1</stp>
        <stp>N</stp>
        <stp>40513</stp>
        <stp>1</stp>
        <stp>PerDevice</stp>
        <stp>502</stp>
        <tr r="AZ17" s="1"/>
      </tp>
      <tp t="s">
        <v>87</v>
        <stp/>
        <stp>127.0.0.1</stp>
        <stp>1</stp>
        <stp>N</stp>
        <stp>40511</stp>
        <stp>1</stp>
        <stp>PerDevice</stp>
        <stp>502</stp>
        <tr r="AY47" s="1"/>
      </tp>
      <tp t="s">
        <v>87</v>
        <stp/>
        <stp>127.0.0.1</stp>
        <stp>1</stp>
        <stp>N</stp>
        <stp>40510</stp>
        <stp>1</stp>
        <stp>PerDevice</stp>
        <stp>502</stp>
        <tr r="AY46" s="1"/>
      </tp>
      <tp t="s">
        <v>84</v>
        <stp/>
        <stp>127.0.0.1</stp>
        <stp>1</stp>
        <stp>N</stp>
        <stp>40517</stp>
        <stp>1</stp>
        <stp>PerDevice</stp>
        <stp>502</stp>
        <tr r="AZ21" s="1"/>
      </tp>
      <tp t="s">
        <v>84</v>
        <stp/>
        <stp>127.0.0.1</stp>
        <stp>1</stp>
        <stp>N</stp>
        <stp>40516</stp>
        <stp>1</stp>
        <stp>PerDevice</stp>
        <stp>502</stp>
        <tr r="AZ20" s="1"/>
      </tp>
      <tp t="s">
        <v>60</v>
        <stp/>
        <stp>127.0.0.1</stp>
        <stp>1</stp>
        <stp>N</stp>
        <stp>40515</stp>
        <stp>1</stp>
        <stp>PerDevice</stp>
        <stp>502</stp>
        <tr r="AZ19" s="1"/>
      </tp>
      <tp t="s">
        <v>60</v>
        <stp/>
        <stp>127.0.0.1</stp>
        <stp>1</stp>
        <stp>N</stp>
        <stp>40514</stp>
        <stp>1</stp>
        <stp>PerDevice</stp>
        <stp>502</stp>
        <tr r="AZ18" s="1"/>
      </tp>
      <tp t="s">
        <v>87</v>
        <stp/>
        <stp>127.0.0.1</stp>
        <stp>1</stp>
        <stp>N</stp>
        <stp>40509</stp>
        <stp>1</stp>
        <stp>PerDevice</stp>
        <stp>502</stp>
        <tr r="AY45" s="1"/>
      </tp>
      <tp t="s">
        <v>87</v>
        <stp/>
        <stp>127.0.0.1</stp>
        <stp>1</stp>
        <stp>N</stp>
        <stp>40508</stp>
        <stp>1</stp>
        <stp>PerDevice</stp>
        <stp>502</stp>
        <tr r="AY44" s="1"/>
      </tp>
      <tp t="s">
        <v>84</v>
        <stp/>
        <stp>127.0.0.1</stp>
        <stp>1</stp>
        <stp>N</stp>
        <stp>40503</stp>
        <stp>1</stp>
        <stp>PerDevice</stp>
        <stp>502</stp>
        <tr r="AY39" s="1"/>
      </tp>
      <tp t="s">
        <v>84</v>
        <stp/>
        <stp>127.0.0.1</stp>
        <stp>1</stp>
        <stp>N</stp>
        <stp>40502</stp>
        <stp>1</stp>
        <stp>PerDevice</stp>
        <stp>502</stp>
        <tr r="AY38" s="1"/>
      </tp>
      <tp t="s">
        <v>84</v>
        <stp/>
        <stp>127.0.0.1</stp>
        <stp>1</stp>
        <stp>N</stp>
        <stp>40501</stp>
        <stp>1</stp>
        <stp>PerDevice</stp>
        <stp>502</stp>
        <tr r="AY37" s="1"/>
      </tp>
      <tp t="s">
        <v>84</v>
        <stp/>
        <stp>127.0.0.1</stp>
        <stp>1</stp>
        <stp>N</stp>
        <stp>40500</stp>
        <stp>1</stp>
        <stp>PerDevice</stp>
        <stp>502</stp>
        <tr r="AY36" s="1"/>
      </tp>
      <tp t="s">
        <v>84</v>
        <stp/>
        <stp>127.0.0.1</stp>
        <stp>1</stp>
        <stp>N</stp>
        <stp>40507</stp>
        <stp>1</stp>
        <stp>PerDevice</stp>
        <stp>502</stp>
        <tr r="AY43" s="1"/>
      </tp>
      <tp t="s">
        <v>84</v>
        <stp/>
        <stp>127.0.0.1</stp>
        <stp>1</stp>
        <stp>N</stp>
        <stp>40506</stp>
        <stp>1</stp>
        <stp>PerDevice</stp>
        <stp>502</stp>
        <tr r="AY42" s="1"/>
      </tp>
      <tp t="s">
        <v>84</v>
        <stp/>
        <stp>127.0.0.1</stp>
        <stp>1</stp>
        <stp>N</stp>
        <stp>40505</stp>
        <stp>1</stp>
        <stp>PerDevice</stp>
        <stp>502</stp>
        <tr r="AY41" s="1"/>
      </tp>
      <tp t="s">
        <v>84</v>
        <stp/>
        <stp>127.0.0.1</stp>
        <stp>1</stp>
        <stp>N</stp>
        <stp>40504</stp>
        <stp>1</stp>
        <stp>PerDevice</stp>
        <stp>502</stp>
        <tr r="AY40" s="1"/>
      </tp>
      <tp t="s">
        <v>60</v>
        <stp/>
        <stp>127.0.0.1</stp>
        <stp>1</stp>
        <stp>N</stp>
        <stp>40699</stp>
        <stp>1</stp>
        <stp>PerDevice</stp>
        <stp>502</stp>
        <tr r="BE43" s="1"/>
      </tp>
      <tp t="s">
        <v>60</v>
        <stp/>
        <stp>127.0.0.1</stp>
        <stp>1</stp>
        <stp>N</stp>
        <stp>40698</stp>
        <stp>1</stp>
        <stp>PerDevice</stp>
        <stp>502</stp>
        <tr r="BE42" s="1"/>
      </tp>
      <tp t="s">
        <v>87</v>
        <stp/>
        <stp>127.0.0.1</stp>
        <stp>1</stp>
        <stp>N</stp>
        <stp>40693</stp>
        <stp>1</stp>
        <stp>PerDevice</stp>
        <stp>502</stp>
        <tr r="BE37" s="1"/>
      </tp>
      <tp t="s">
        <v>87</v>
        <stp/>
        <stp>127.0.0.1</stp>
        <stp>1</stp>
        <stp>N</stp>
        <stp>40692</stp>
        <stp>1</stp>
        <stp>PerDevice</stp>
        <stp>502</stp>
        <tr r="BE36" s="1"/>
      </tp>
      <tp t="s">
        <v>87</v>
        <stp/>
        <stp>127.0.0.1</stp>
        <stp>1</stp>
        <stp>N</stp>
        <stp>40691</stp>
        <stp>1</stp>
        <stp>PerDevice</stp>
        <stp>502</stp>
        <tr r="BE35" s="1"/>
      </tp>
      <tp t="s">
        <v>87</v>
        <stp/>
        <stp>127.0.0.1</stp>
        <stp>1</stp>
        <stp>N</stp>
        <stp>40690</stp>
        <stp>1</stp>
        <stp>PerDevice</stp>
        <stp>502</stp>
        <tr r="BE34" s="1"/>
      </tp>
      <tp t="s">
        <v>60</v>
        <stp/>
        <stp>127.0.0.1</stp>
        <stp>1</stp>
        <stp>N</stp>
        <stp>40697</stp>
        <stp>1</stp>
        <stp>PerDevice</stp>
        <stp>502</stp>
        <tr r="BE41" s="1"/>
      </tp>
      <tp t="s">
        <v>60</v>
        <stp/>
        <stp>127.0.0.1</stp>
        <stp>1</stp>
        <stp>N</stp>
        <stp>40696</stp>
        <stp>1</stp>
        <stp>PerDevice</stp>
        <stp>502</stp>
        <tr r="BE40" s="1"/>
      </tp>
      <tp t="s">
        <v>87</v>
        <stp/>
        <stp>127.0.0.1</stp>
        <stp>1</stp>
        <stp>N</stp>
        <stp>40695</stp>
        <stp>1</stp>
        <stp>PerDevice</stp>
        <stp>502</stp>
        <tr r="BE39" s="1"/>
      </tp>
      <tp t="s">
        <v>87</v>
        <stp/>
        <stp>127.0.0.1</stp>
        <stp>1</stp>
        <stp>N</stp>
        <stp>40694</stp>
        <stp>1</stp>
        <stp>PerDevice</stp>
        <stp>502</stp>
        <tr r="BE38" s="1"/>
      </tp>
      <tp t="s">
        <v>84</v>
        <stp/>
        <stp>127.0.0.1</stp>
        <stp>1</stp>
        <stp>N</stp>
        <stp>40689</stp>
        <stp>1</stp>
        <stp>PerDevice</stp>
        <stp>502</stp>
        <tr r="BE33" s="1"/>
      </tp>
      <tp t="s">
        <v>84</v>
        <stp/>
        <stp>127.0.0.1</stp>
        <stp>1</stp>
        <stp>N</stp>
        <stp>40688</stp>
        <stp>1</stp>
        <stp>PerDevice</stp>
        <stp>502</stp>
        <tr r="BE32" s="1"/>
      </tp>
      <tp t="s">
        <v>84</v>
        <stp/>
        <stp>127.0.0.1</stp>
        <stp>1</stp>
        <stp>N</stp>
        <stp>40683</stp>
        <stp>1</stp>
        <stp>PerDevice</stp>
        <stp>502</stp>
        <tr r="BE27" s="1"/>
      </tp>
      <tp t="s">
        <v>84</v>
        <stp/>
        <stp>127.0.0.1</stp>
        <stp>1</stp>
        <stp>N</stp>
        <stp>40682</stp>
        <stp>1</stp>
        <stp>PerDevice</stp>
        <stp>502</stp>
        <tr r="BE26" s="1"/>
      </tp>
      <tp t="s">
        <v>84</v>
        <stp/>
        <stp>127.0.0.1</stp>
        <stp>1</stp>
        <stp>N</stp>
        <stp>40681</stp>
        <stp>1</stp>
        <stp>PerDevice</stp>
        <stp>502</stp>
        <tr r="BE25" s="1"/>
      </tp>
      <tp t="s">
        <v>84</v>
        <stp/>
        <stp>127.0.0.1</stp>
        <stp>1</stp>
        <stp>N</stp>
        <stp>40680</stp>
        <stp>1</stp>
        <stp>PerDevice</stp>
        <stp>502</stp>
        <tr r="BE24" s="1"/>
      </tp>
      <tp t="s">
        <v>84</v>
        <stp/>
        <stp>127.0.0.1</stp>
        <stp>1</stp>
        <stp>N</stp>
        <stp>40687</stp>
        <stp>1</stp>
        <stp>PerDevice</stp>
        <stp>502</stp>
        <tr r="BE31" s="1"/>
      </tp>
      <tp t="s">
        <v>84</v>
        <stp/>
        <stp>127.0.0.1</stp>
        <stp>1</stp>
        <stp>N</stp>
        <stp>40686</stp>
        <stp>1</stp>
        <stp>PerDevice</stp>
        <stp>502</stp>
        <tr r="BE30" s="1"/>
      </tp>
      <tp t="s">
        <v>84</v>
        <stp/>
        <stp>127.0.0.1</stp>
        <stp>1</stp>
        <stp>N</stp>
        <stp>40685</stp>
        <stp>1</stp>
        <stp>PerDevice</stp>
        <stp>502</stp>
        <tr r="BE29" s="1"/>
      </tp>
      <tp t="s">
        <v>84</v>
        <stp/>
        <stp>127.0.0.1</stp>
        <stp>1</stp>
        <stp>N</stp>
        <stp>40684</stp>
        <stp>1</stp>
        <stp>PerDevice</stp>
        <stp>502</stp>
        <tr r="BE28" s="1"/>
      </tp>
      <tp t="s">
        <v>87</v>
        <stp/>
        <stp>127.0.0.1</stp>
        <stp>1</stp>
        <stp>N</stp>
        <stp>40679</stp>
        <stp>1</stp>
        <stp>PerDevice</stp>
        <stp>502</stp>
        <tr r="BE23" s="1"/>
      </tp>
      <tp t="s">
        <v>87</v>
        <stp/>
        <stp>127.0.0.1</stp>
        <stp>1</stp>
        <stp>N</stp>
        <stp>40678</stp>
        <stp>1</stp>
        <stp>PerDevice</stp>
        <stp>502</stp>
        <tr r="BE22" s="1"/>
      </tp>
      <tp t="s">
        <v>84</v>
        <stp/>
        <stp>127.0.0.1</stp>
        <stp>1</stp>
        <stp>N</stp>
        <stp>40673</stp>
        <stp>1</stp>
        <stp>PerDevice</stp>
        <stp>502</stp>
        <tr r="BE17" s="1"/>
      </tp>
      <tp t="s">
        <v>84</v>
        <stp/>
        <stp>127.0.0.1</stp>
        <stp>1</stp>
        <stp>N</stp>
        <stp>40671</stp>
        <stp>1</stp>
        <stp>PerDevice</stp>
        <stp>502</stp>
        <tr r="BD47" s="1"/>
      </tp>
      <tp t="s">
        <v>84</v>
        <stp/>
        <stp>127.0.0.1</stp>
        <stp>1</stp>
        <stp>N</stp>
        <stp>40670</stp>
        <stp>1</stp>
        <stp>PerDevice</stp>
        <stp>502</stp>
        <tr r="BD46" s="1"/>
      </tp>
      <tp t="s">
        <v>87</v>
        <stp/>
        <stp>127.0.0.1</stp>
        <stp>1</stp>
        <stp>N</stp>
        <stp>40677</stp>
        <stp>1</stp>
        <stp>PerDevice</stp>
        <stp>502</stp>
        <tr r="BE21" s="1"/>
      </tp>
      <tp t="s">
        <v>87</v>
        <stp/>
        <stp>127.0.0.1</stp>
        <stp>1</stp>
        <stp>N</stp>
        <stp>40676</stp>
        <stp>1</stp>
        <stp>PerDevice</stp>
        <stp>502</stp>
        <tr r="BE20" s="1"/>
      </tp>
      <tp t="s">
        <v>84</v>
        <stp/>
        <stp>127.0.0.1</stp>
        <stp>1</stp>
        <stp>N</stp>
        <stp>40675</stp>
        <stp>1</stp>
        <stp>PerDevice</stp>
        <stp>502</stp>
        <tr r="BE19" s="1"/>
      </tp>
      <tp t="s">
        <v>84</v>
        <stp/>
        <stp>127.0.0.1</stp>
        <stp>1</stp>
        <stp>N</stp>
        <stp>40674</stp>
        <stp>1</stp>
        <stp>PerDevice</stp>
        <stp>502</stp>
        <tr r="BE18" s="1"/>
      </tp>
      <tp t="s">
        <v>84</v>
        <stp/>
        <stp>127.0.0.1</stp>
        <stp>1</stp>
        <stp>N</stp>
        <stp>40669</stp>
        <stp>1</stp>
        <stp>PerDevice</stp>
        <stp>502</stp>
        <tr r="BD45" s="1"/>
      </tp>
      <tp t="s">
        <v>84</v>
        <stp/>
        <stp>127.0.0.1</stp>
        <stp>1</stp>
        <stp>N</stp>
        <stp>40668</stp>
        <stp>1</stp>
        <stp>PerDevice</stp>
        <stp>502</stp>
        <tr r="BD44" s="1"/>
      </tp>
      <tp t="s">
        <v>84</v>
        <stp/>
        <stp>127.0.0.1</stp>
        <stp>1</stp>
        <stp>N</stp>
        <stp>40663</stp>
        <stp>1</stp>
        <stp>PerDevice</stp>
        <stp>502</stp>
        <tr r="BD39" s="1"/>
      </tp>
      <tp t="s">
        <v>84</v>
        <stp/>
        <stp>127.0.0.1</stp>
        <stp>1</stp>
        <stp>N</stp>
        <stp>40662</stp>
        <stp>1</stp>
        <stp>PerDevice</stp>
        <stp>502</stp>
        <tr r="BD38" s="1"/>
      </tp>
      <tp t="s">
        <v>84</v>
        <stp/>
        <stp>127.0.0.1</stp>
        <stp>1</stp>
        <stp>N</stp>
        <stp>40661</stp>
        <stp>1</stp>
        <stp>PerDevice</stp>
        <stp>502</stp>
        <tr r="BD37" s="1"/>
      </tp>
      <tp t="s">
        <v>84</v>
        <stp/>
        <stp>127.0.0.1</stp>
        <stp>1</stp>
        <stp>N</stp>
        <stp>40660</stp>
        <stp>1</stp>
        <stp>PerDevice</stp>
        <stp>502</stp>
        <tr r="BD36" s="1"/>
      </tp>
      <tp t="s">
        <v>84</v>
        <stp/>
        <stp>127.0.0.1</stp>
        <stp>1</stp>
        <stp>N</stp>
        <stp>40667</stp>
        <stp>1</stp>
        <stp>PerDevice</stp>
        <stp>502</stp>
        <tr r="BD43" s="1"/>
      </tp>
      <tp t="s">
        <v>84</v>
        <stp/>
        <stp>127.0.0.1</stp>
        <stp>1</stp>
        <stp>N</stp>
        <stp>40666</stp>
        <stp>1</stp>
        <stp>PerDevice</stp>
        <stp>502</stp>
        <tr r="BD42" s="1"/>
      </tp>
      <tp t="s">
        <v>84</v>
        <stp/>
        <stp>127.0.0.1</stp>
        <stp>1</stp>
        <stp>N</stp>
        <stp>40665</stp>
        <stp>1</stp>
        <stp>PerDevice</stp>
        <stp>502</stp>
        <tr r="BD41" s="1"/>
      </tp>
      <tp t="s">
        <v>84</v>
        <stp/>
        <stp>127.0.0.1</stp>
        <stp>1</stp>
        <stp>N</stp>
        <stp>40664</stp>
        <stp>1</stp>
        <stp>PerDevice</stp>
        <stp>502</stp>
        <tr r="BD40" s="1"/>
      </tp>
      <tp t="s">
        <v>84</v>
        <stp/>
        <stp>127.0.0.1</stp>
        <stp>1</stp>
        <stp>N</stp>
        <stp>40659</stp>
        <stp>1</stp>
        <stp>PerDevice</stp>
        <stp>502</stp>
        <tr r="BD35" s="1"/>
      </tp>
      <tp t="s">
        <v>84</v>
        <stp/>
        <stp>127.0.0.1</stp>
        <stp>1</stp>
        <stp>N</stp>
        <stp>40658</stp>
        <stp>1</stp>
        <stp>PerDevice</stp>
        <stp>502</stp>
        <tr r="BD34" s="1"/>
      </tp>
      <tp t="s">
        <v>84</v>
        <stp/>
        <stp>127.0.0.1</stp>
        <stp>1</stp>
        <stp>N</stp>
        <stp>40653</stp>
        <stp>1</stp>
        <stp>PerDevice</stp>
        <stp>502</stp>
        <tr r="BD29" s="1"/>
      </tp>
      <tp t="s">
        <v>84</v>
        <stp/>
        <stp>127.0.0.1</stp>
        <stp>1</stp>
        <stp>N</stp>
        <stp>40652</stp>
        <stp>1</stp>
        <stp>PerDevice</stp>
        <stp>502</stp>
        <tr r="BD28" s="1"/>
      </tp>
      <tp t="s">
        <v>84</v>
        <stp/>
        <stp>127.0.0.1</stp>
        <stp>1</stp>
        <stp>N</stp>
        <stp>40651</stp>
        <stp>1</stp>
        <stp>PerDevice</stp>
        <stp>502</stp>
        <tr r="BD27" s="1"/>
      </tp>
      <tp t="s">
        <v>84</v>
        <stp/>
        <stp>127.0.0.1</stp>
        <stp>1</stp>
        <stp>N</stp>
        <stp>40650</stp>
        <stp>1</stp>
        <stp>PerDevice</stp>
        <stp>502</stp>
        <tr r="BD26" s="1"/>
      </tp>
      <tp t="s">
        <v>84</v>
        <stp/>
        <stp>127.0.0.1</stp>
        <stp>1</stp>
        <stp>N</stp>
        <stp>40657</stp>
        <stp>1</stp>
        <stp>PerDevice</stp>
        <stp>502</stp>
        <tr r="BD33" s="1"/>
      </tp>
      <tp t="s">
        <v>84</v>
        <stp/>
        <stp>127.0.0.1</stp>
        <stp>1</stp>
        <stp>N</stp>
        <stp>40656</stp>
        <stp>1</stp>
        <stp>PerDevice</stp>
        <stp>502</stp>
        <tr r="BD32" s="1"/>
      </tp>
      <tp t="s">
        <v>84</v>
        <stp/>
        <stp>127.0.0.1</stp>
        <stp>1</stp>
        <stp>N</stp>
        <stp>40655</stp>
        <stp>1</stp>
        <stp>PerDevice</stp>
        <stp>502</stp>
        <tr r="BD31" s="1"/>
      </tp>
      <tp t="s">
        <v>84</v>
        <stp/>
        <stp>127.0.0.1</stp>
        <stp>1</stp>
        <stp>N</stp>
        <stp>40654</stp>
        <stp>1</stp>
        <stp>PerDevice</stp>
        <stp>502</stp>
        <tr r="BD30" s="1"/>
      </tp>
      <tp t="s">
        <v>84</v>
        <stp/>
        <stp>127.0.0.1</stp>
        <stp>1</stp>
        <stp>N</stp>
        <stp>40649</stp>
        <stp>1</stp>
        <stp>PerDevice</stp>
        <stp>502</stp>
        <tr r="BD25" s="1"/>
      </tp>
      <tp t="s">
        <v>84</v>
        <stp/>
        <stp>127.0.0.1</stp>
        <stp>1</stp>
        <stp>N</stp>
        <stp>40648</stp>
        <stp>1</stp>
        <stp>PerDevice</stp>
        <stp>502</stp>
        <tr r="BD24" s="1"/>
      </tp>
      <tp t="s">
        <v>60</v>
        <stp/>
        <stp>127.0.0.1</stp>
        <stp>1</stp>
        <stp>N</stp>
        <stp>40643</stp>
        <stp>1</stp>
        <stp>PerDevice</stp>
        <stp>502</stp>
        <tr r="BD19" s="1"/>
      </tp>
      <tp t="s">
        <v>84</v>
        <stp/>
        <stp>127.0.0.1</stp>
        <stp>1</stp>
        <stp>N</stp>
        <stp>40642</stp>
        <stp>1</stp>
        <stp>PerDevice</stp>
        <stp>502</stp>
        <tr r="BD18" s="1"/>
      </tp>
      <tp t="s">
        <v>60</v>
        <stp/>
        <stp>127.0.0.1</stp>
        <stp>1</stp>
        <stp>N</stp>
        <stp>40641</stp>
        <stp>1</stp>
        <stp>PerDevice</stp>
        <stp>502</stp>
        <tr r="BD17" s="1"/>
      </tp>
      <tp t="s">
        <v>84</v>
        <stp/>
        <stp>127.0.0.1</stp>
        <stp>1</stp>
        <stp>N</stp>
        <stp>40647</stp>
        <stp>1</stp>
        <stp>PerDevice</stp>
        <stp>502</stp>
        <tr r="BD23" s="1"/>
      </tp>
      <tp t="s">
        <v>84</v>
        <stp/>
        <stp>127.0.0.1</stp>
        <stp>1</stp>
        <stp>N</stp>
        <stp>40646</stp>
        <stp>1</stp>
        <stp>PerDevice</stp>
        <stp>502</stp>
        <tr r="BD22" s="1"/>
      </tp>
      <tp t="s">
        <v>84</v>
        <stp/>
        <stp>127.0.0.1</stp>
        <stp>1</stp>
        <stp>N</stp>
        <stp>40645</stp>
        <stp>1</stp>
        <stp>PerDevice</stp>
        <stp>502</stp>
        <tr r="BD21" s="1"/>
      </tp>
      <tp t="s">
        <v>84</v>
        <stp/>
        <stp>127.0.0.1</stp>
        <stp>1</stp>
        <stp>N</stp>
        <stp>40644</stp>
        <stp>1</stp>
        <stp>PerDevice</stp>
        <stp>502</stp>
        <tr r="BD20" s="1"/>
      </tp>
      <tp t="s">
        <v>84</v>
        <stp/>
        <stp>127.0.0.1</stp>
        <stp>1</stp>
        <stp>N</stp>
        <stp>40639</stp>
        <stp>1</stp>
        <stp>PerDevice</stp>
        <stp>502</stp>
        <tr r="BC47" s="1"/>
      </tp>
      <tp t="s">
        <v>84</v>
        <stp/>
        <stp>127.0.0.1</stp>
        <stp>1</stp>
        <stp>N</stp>
        <stp>40638</stp>
        <stp>1</stp>
        <stp>PerDevice</stp>
        <stp>502</stp>
        <tr r="BC46" s="1"/>
      </tp>
      <tp t="s">
        <v>84</v>
        <stp/>
        <stp>127.0.0.1</stp>
        <stp>1</stp>
        <stp>N</stp>
        <stp>40633</stp>
        <stp>1</stp>
        <stp>PerDevice</stp>
        <stp>502</stp>
        <tr r="BC41" s="1"/>
      </tp>
      <tp t="s">
        <v>84</v>
        <stp/>
        <stp>127.0.0.1</stp>
        <stp>1</stp>
        <stp>N</stp>
        <stp>40632</stp>
        <stp>1</stp>
        <stp>PerDevice</stp>
        <stp>502</stp>
        <tr r="BC40" s="1"/>
      </tp>
      <tp t="s">
        <v>84</v>
        <stp/>
        <stp>127.0.0.1</stp>
        <stp>1</stp>
        <stp>N</stp>
        <stp>40631</stp>
        <stp>1</stp>
        <stp>PerDevice</stp>
        <stp>502</stp>
        <tr r="BC39" s="1"/>
      </tp>
      <tp t="s">
        <v>84</v>
        <stp/>
        <stp>127.0.0.1</stp>
        <stp>1</stp>
        <stp>N</stp>
        <stp>40630</stp>
        <stp>1</stp>
        <stp>PerDevice</stp>
        <stp>502</stp>
        <tr r="BC38" s="1"/>
      </tp>
      <tp t="s">
        <v>84</v>
        <stp/>
        <stp>127.0.0.1</stp>
        <stp>1</stp>
        <stp>N</stp>
        <stp>40637</stp>
        <stp>1</stp>
        <stp>PerDevice</stp>
        <stp>502</stp>
        <tr r="BC45" s="1"/>
      </tp>
      <tp t="s">
        <v>84</v>
        <stp/>
        <stp>127.0.0.1</stp>
        <stp>1</stp>
        <stp>N</stp>
        <stp>40636</stp>
        <stp>1</stp>
        <stp>PerDevice</stp>
        <stp>502</stp>
        <tr r="BC44" s="1"/>
      </tp>
      <tp t="s">
        <v>84</v>
        <stp/>
        <stp>127.0.0.1</stp>
        <stp>1</stp>
        <stp>N</stp>
        <stp>40635</stp>
        <stp>1</stp>
        <stp>PerDevice</stp>
        <stp>502</stp>
        <tr r="BC43" s="1"/>
      </tp>
      <tp t="s">
        <v>84</v>
        <stp/>
        <stp>127.0.0.1</stp>
        <stp>1</stp>
        <stp>N</stp>
        <stp>40634</stp>
        <stp>1</stp>
        <stp>PerDevice</stp>
        <stp>502</stp>
        <tr r="BC42" s="1"/>
      </tp>
      <tp t="s">
        <v>60</v>
        <stp/>
        <stp>127.0.0.1</stp>
        <stp>1</stp>
        <stp>N</stp>
        <stp>40629</stp>
        <stp>1</stp>
        <stp>PerDevice</stp>
        <stp>502</stp>
        <tr r="BC37" s="1"/>
      </tp>
      <tp t="s">
        <v>84</v>
        <stp/>
        <stp>127.0.0.1</stp>
        <stp>1</stp>
        <stp>N</stp>
        <stp>40628</stp>
        <stp>1</stp>
        <stp>PerDevice</stp>
        <stp>502</stp>
        <tr r="BC36" s="1"/>
      </tp>
      <tp t="s">
        <v>87</v>
        <stp/>
        <stp>127.0.0.1</stp>
        <stp>1</stp>
        <stp>N</stp>
        <stp>40623</stp>
        <stp>1</stp>
        <stp>PerDevice</stp>
        <stp>502</stp>
        <tr r="BC31" s="1"/>
      </tp>
      <tp t="s">
        <v>87</v>
        <stp/>
        <stp>127.0.0.1</stp>
        <stp>1</stp>
        <stp>N</stp>
        <stp>40622</stp>
        <stp>1</stp>
        <stp>PerDevice</stp>
        <stp>502</stp>
        <tr r="BC30" s="1"/>
      </tp>
      <tp t="s">
        <v>87</v>
        <stp/>
        <stp>127.0.0.1</stp>
        <stp>1</stp>
        <stp>N</stp>
        <stp>40621</stp>
        <stp>1</stp>
        <stp>PerDevice</stp>
        <stp>502</stp>
        <tr r="BC29" s="1"/>
      </tp>
      <tp t="s">
        <v>87</v>
        <stp/>
        <stp>127.0.0.1</stp>
        <stp>1</stp>
        <stp>N</stp>
        <stp>40620</stp>
        <stp>1</stp>
        <stp>PerDevice</stp>
        <stp>502</stp>
        <tr r="BC28" s="1"/>
      </tp>
      <tp t="s">
        <v>60</v>
        <stp/>
        <stp>127.0.0.1</stp>
        <stp>1</stp>
        <stp>N</stp>
        <stp>40627</stp>
        <stp>1</stp>
        <stp>PerDevice</stp>
        <stp>502</stp>
        <tr r="BC35" s="1"/>
      </tp>
      <tp t="s">
        <v>60</v>
        <stp/>
        <stp>127.0.0.1</stp>
        <stp>1</stp>
        <stp>N</stp>
        <stp>40626</stp>
        <stp>1</stp>
        <stp>PerDevice</stp>
        <stp>502</stp>
        <tr r="BC34" s="1"/>
      </tp>
      <tp t="s">
        <v>87</v>
        <stp/>
        <stp>127.0.0.1</stp>
        <stp>1</stp>
        <stp>N</stp>
        <stp>40625</stp>
        <stp>1</stp>
        <stp>PerDevice</stp>
        <stp>502</stp>
        <tr r="BC33" s="1"/>
      </tp>
      <tp t="s">
        <v>87</v>
        <stp/>
        <stp>127.0.0.1</stp>
        <stp>1</stp>
        <stp>N</stp>
        <stp>40624</stp>
        <stp>1</stp>
        <stp>PerDevice</stp>
        <stp>502</stp>
        <tr r="BC32" s="1"/>
      </tp>
      <tp t="s">
        <v>84</v>
        <stp/>
        <stp>127.0.0.1</stp>
        <stp>1</stp>
        <stp>N</stp>
        <stp>40619</stp>
        <stp>1</stp>
        <stp>PerDevice</stp>
        <stp>502</stp>
        <tr r="BC27" s="1"/>
      </tp>
      <tp t="s">
        <v>84</v>
        <stp/>
        <stp>127.0.0.1</stp>
        <stp>1</stp>
        <stp>N</stp>
        <stp>40618</stp>
        <stp>1</stp>
        <stp>PerDevice</stp>
        <stp>502</stp>
        <tr r="BC26" s="1"/>
      </tp>
      <tp t="s">
        <v>87</v>
        <stp/>
        <stp>127.0.0.1</stp>
        <stp>1</stp>
        <stp>N</stp>
        <stp>40613</stp>
        <stp>1</stp>
        <stp>PerDevice</stp>
        <stp>502</stp>
        <tr r="BC21" s="1"/>
      </tp>
      <tp t="s">
        <v>60</v>
        <stp/>
        <stp>127.0.0.1</stp>
        <stp>1</stp>
        <stp>N</stp>
        <stp>40612</stp>
        <stp>1</stp>
        <stp>PerDevice</stp>
        <stp>502</stp>
        <tr r="BC20" s="1"/>
      </tp>
      <tp t="s">
        <v>87</v>
        <stp/>
        <stp>127.0.0.1</stp>
        <stp>1</stp>
        <stp>N</stp>
        <stp>40611</stp>
        <stp>1</stp>
        <stp>PerDevice</stp>
        <stp>502</stp>
        <tr r="BC19" s="1"/>
      </tp>
      <tp t="s">
        <v>87</v>
        <stp/>
        <stp>127.0.0.1</stp>
        <stp>1</stp>
        <stp>N</stp>
        <stp>40610</stp>
        <stp>1</stp>
        <stp>PerDevice</stp>
        <stp>502</stp>
        <tr r="BC18" s="1"/>
      </tp>
      <tp t="s">
        <v>84</v>
        <stp/>
        <stp>127.0.0.1</stp>
        <stp>1</stp>
        <stp>N</stp>
        <stp>40617</stp>
        <stp>1</stp>
        <stp>PerDevice</stp>
        <stp>502</stp>
        <tr r="BC25" s="1"/>
      </tp>
      <tp t="s">
        <v>84</v>
        <stp/>
        <stp>127.0.0.1</stp>
        <stp>1</stp>
        <stp>N</stp>
        <stp>40616</stp>
        <stp>1</stp>
        <stp>PerDevice</stp>
        <stp>502</stp>
        <tr r="BC24" s="1"/>
      </tp>
      <tp t="s">
        <v>60</v>
        <stp/>
        <stp>127.0.0.1</stp>
        <stp>1</stp>
        <stp>N</stp>
        <stp>40615</stp>
        <stp>1</stp>
        <stp>PerDevice</stp>
        <stp>502</stp>
        <tr r="BC23" s="1"/>
      </tp>
      <tp t="s">
        <v>60</v>
        <stp/>
        <stp>127.0.0.1</stp>
        <stp>1</stp>
        <stp>N</stp>
        <stp>40614</stp>
        <stp>1</stp>
        <stp>PerDevice</stp>
        <stp>502</stp>
        <tr r="BC22" s="1"/>
      </tp>
      <tp t="s">
        <v>87</v>
        <stp/>
        <stp>127.0.0.1</stp>
        <stp>1</stp>
        <stp>N</stp>
        <stp>40609</stp>
        <stp>1</stp>
        <stp>PerDevice</stp>
        <stp>502</stp>
        <tr r="BC17" s="1"/>
      </tp>
      <tp t="s">
        <v>84</v>
        <stp/>
        <stp>127.0.0.1</stp>
        <stp>1</stp>
        <stp>N</stp>
        <stp>40603</stp>
        <stp>1</stp>
        <stp>PerDevice</stp>
        <stp>502</stp>
        <tr r="BB43" s="1"/>
      </tp>
      <tp t="s">
        <v>84</v>
        <stp/>
        <stp>127.0.0.1</stp>
        <stp>1</stp>
        <stp>N</stp>
        <stp>40602</stp>
        <stp>1</stp>
        <stp>PerDevice</stp>
        <stp>502</stp>
        <tr r="BB42" s="1"/>
      </tp>
      <tp t="s">
        <v>84</v>
        <stp/>
        <stp>127.0.0.1</stp>
        <stp>1</stp>
        <stp>N</stp>
        <stp>40601</stp>
        <stp>1</stp>
        <stp>PerDevice</stp>
        <stp>502</stp>
        <tr r="BB41" s="1"/>
      </tp>
      <tp t="s">
        <v>84</v>
        <stp/>
        <stp>127.0.0.1</stp>
        <stp>1</stp>
        <stp>N</stp>
        <stp>40600</stp>
        <stp>1</stp>
        <stp>PerDevice</stp>
        <stp>502</stp>
        <tr r="BB40" s="1"/>
      </tp>
      <tp t="s">
        <v>84</v>
        <stp/>
        <stp>127.0.0.1</stp>
        <stp>1</stp>
        <stp>N</stp>
        <stp>40607</stp>
        <stp>1</stp>
        <stp>PerDevice</stp>
        <stp>502</stp>
        <tr r="BB47" s="1"/>
      </tp>
      <tp t="s">
        <v>84</v>
        <stp/>
        <stp>127.0.0.1</stp>
        <stp>1</stp>
        <stp>N</stp>
        <stp>40606</stp>
        <stp>1</stp>
        <stp>PerDevice</stp>
        <stp>502</stp>
        <tr r="BB46" s="1"/>
      </tp>
      <tp t="s">
        <v>84</v>
        <stp/>
        <stp>127.0.0.1</stp>
        <stp>1</stp>
        <stp>N</stp>
        <stp>40605</stp>
        <stp>1</stp>
        <stp>PerDevice</stp>
        <stp>502</stp>
        <tr r="BB45" s="1"/>
      </tp>
      <tp t="s">
        <v>84</v>
        <stp/>
        <stp>127.0.0.1</stp>
        <stp>1</stp>
        <stp>N</stp>
        <stp>40604</stp>
        <stp>1</stp>
        <stp>PerDevice</stp>
        <stp>502</stp>
        <tr r="BB44" s="1"/>
      </tp>
      <tp t="s">
        <v>60</v>
        <stp/>
        <stp>127.0.0.1</stp>
        <stp>1</stp>
        <stp>N</stp>
        <stp>40799</stp>
        <stp>1</stp>
        <stp>PerDevice</stp>
        <stp>502</stp>
        <tr r="BH47" s="1"/>
      </tp>
      <tp t="s">
        <v>60</v>
        <stp/>
        <stp>127.0.0.1</stp>
        <stp>1</stp>
        <stp>N</stp>
        <stp>40798</stp>
        <stp>1</stp>
        <stp>PerDevice</stp>
        <stp>502</stp>
        <tr r="BH46" s="1"/>
      </tp>
      <tp t="s">
        <v>87</v>
        <stp/>
        <stp>127.0.0.1</stp>
        <stp>1</stp>
        <stp>N</stp>
        <stp>40793</stp>
        <stp>1</stp>
        <stp>PerDevice</stp>
        <stp>502</stp>
        <tr r="BH41" s="1"/>
      </tp>
      <tp t="s">
        <v>87</v>
        <stp/>
        <stp>127.0.0.1</stp>
        <stp>1</stp>
        <stp>N</stp>
        <stp>40792</stp>
        <stp>1</stp>
        <stp>PerDevice</stp>
        <stp>502</stp>
        <tr r="BH40" s="1"/>
      </tp>
      <tp t="s">
        <v>87</v>
        <stp/>
        <stp>127.0.0.1</stp>
        <stp>1</stp>
        <stp>N</stp>
        <stp>40791</stp>
        <stp>1</stp>
        <stp>PerDevice</stp>
        <stp>502</stp>
        <tr r="BH39" s="1"/>
      </tp>
      <tp t="s">
        <v>87</v>
        <stp/>
        <stp>127.0.0.1</stp>
        <stp>1</stp>
        <stp>N</stp>
        <stp>40790</stp>
        <stp>1</stp>
        <stp>PerDevice</stp>
        <stp>502</stp>
        <tr r="BH38" s="1"/>
      </tp>
      <tp t="s">
        <v>60</v>
        <stp/>
        <stp>127.0.0.1</stp>
        <stp>1</stp>
        <stp>N</stp>
        <stp>40797</stp>
        <stp>1</stp>
        <stp>PerDevice</stp>
        <stp>502</stp>
        <tr r="BH45" s="1"/>
      </tp>
      <tp t="s">
        <v>60</v>
        <stp/>
        <stp>127.0.0.1</stp>
        <stp>1</stp>
        <stp>N</stp>
        <stp>40796</stp>
        <stp>1</stp>
        <stp>PerDevice</stp>
        <stp>502</stp>
        <tr r="BH44" s="1"/>
      </tp>
      <tp t="s">
        <v>87</v>
        <stp/>
        <stp>127.0.0.1</stp>
        <stp>1</stp>
        <stp>N</stp>
        <stp>40795</stp>
        <stp>1</stp>
        <stp>PerDevice</stp>
        <stp>502</stp>
        <tr r="BH43" s="1"/>
      </tp>
      <tp t="s">
        <v>87</v>
        <stp/>
        <stp>127.0.0.1</stp>
        <stp>1</stp>
        <stp>N</stp>
        <stp>40794</stp>
        <stp>1</stp>
        <stp>PerDevice</stp>
        <stp>502</stp>
        <tr r="BH42" s="1"/>
      </tp>
      <tp t="s">
        <v>84</v>
        <stp/>
        <stp>127.0.0.1</stp>
        <stp>1</stp>
        <stp>N</stp>
        <stp>40789</stp>
        <stp>1</stp>
        <stp>PerDevice</stp>
        <stp>502</stp>
        <tr r="BH37" s="1"/>
      </tp>
      <tp t="s">
        <v>84</v>
        <stp/>
        <stp>127.0.0.1</stp>
        <stp>1</stp>
        <stp>N</stp>
        <stp>40788</stp>
        <stp>1</stp>
        <stp>PerDevice</stp>
        <stp>502</stp>
        <tr r="BH36" s="1"/>
      </tp>
      <tp t="s">
        <v>84</v>
        <stp/>
        <stp>127.0.0.1</stp>
        <stp>1</stp>
        <stp>N</stp>
        <stp>40783</stp>
        <stp>1</stp>
        <stp>PerDevice</stp>
        <stp>502</stp>
        <tr r="BH31" s="1"/>
      </tp>
      <tp t="s">
        <v>84</v>
        <stp/>
        <stp>127.0.0.1</stp>
        <stp>1</stp>
        <stp>N</stp>
        <stp>40782</stp>
        <stp>1</stp>
        <stp>PerDevice</stp>
        <stp>502</stp>
        <tr r="BH30" s="1"/>
      </tp>
      <tp t="s">
        <v>84</v>
        <stp/>
        <stp>127.0.0.1</stp>
        <stp>1</stp>
        <stp>N</stp>
        <stp>40781</stp>
        <stp>1</stp>
        <stp>PerDevice</stp>
        <stp>502</stp>
        <tr r="BH29" s="1"/>
      </tp>
      <tp t="s">
        <v>84</v>
        <stp/>
        <stp>127.0.0.1</stp>
        <stp>1</stp>
        <stp>N</stp>
        <stp>40780</stp>
        <stp>1</stp>
        <stp>PerDevice</stp>
        <stp>502</stp>
        <tr r="BH28" s="1"/>
      </tp>
      <tp t="s">
        <v>84</v>
        <stp/>
        <stp>127.0.0.1</stp>
        <stp>1</stp>
        <stp>N</stp>
        <stp>40787</stp>
        <stp>1</stp>
        <stp>PerDevice</stp>
        <stp>502</stp>
        <tr r="BH35" s="1"/>
      </tp>
      <tp t="s">
        <v>84</v>
        <stp/>
        <stp>127.0.0.1</stp>
        <stp>1</stp>
        <stp>N</stp>
        <stp>40786</stp>
        <stp>1</stp>
        <stp>PerDevice</stp>
        <stp>502</stp>
        <tr r="BH34" s="1"/>
      </tp>
      <tp t="s">
        <v>84</v>
        <stp/>
        <stp>127.0.0.1</stp>
        <stp>1</stp>
        <stp>N</stp>
        <stp>40785</stp>
        <stp>1</stp>
        <stp>PerDevice</stp>
        <stp>502</stp>
        <tr r="BH33" s="1"/>
      </tp>
      <tp t="s">
        <v>84</v>
        <stp/>
        <stp>127.0.0.1</stp>
        <stp>1</stp>
        <stp>N</stp>
        <stp>40784</stp>
        <stp>1</stp>
        <stp>PerDevice</stp>
        <stp>502</stp>
        <tr r="BH32" s="1"/>
      </tp>
      <tp t="s">
        <v>87</v>
        <stp/>
        <stp>127.0.0.1</stp>
        <stp>1</stp>
        <stp>N</stp>
        <stp>40779</stp>
        <stp>1</stp>
        <stp>PerDevice</stp>
        <stp>502</stp>
        <tr r="BH27" s="1"/>
      </tp>
      <tp t="s">
        <v>87</v>
        <stp/>
        <stp>127.0.0.1</stp>
        <stp>1</stp>
        <stp>N</stp>
        <stp>40778</stp>
        <stp>1</stp>
        <stp>PerDevice</stp>
        <stp>502</stp>
        <tr r="BH26" s="1"/>
      </tp>
      <tp t="s">
        <v>84</v>
        <stp/>
        <stp>127.0.0.1</stp>
        <stp>1</stp>
        <stp>N</stp>
        <stp>40773</stp>
        <stp>1</stp>
        <stp>PerDevice</stp>
        <stp>502</stp>
        <tr r="BH21" s="1"/>
      </tp>
      <tp t="s">
        <v>84</v>
        <stp/>
        <stp>127.0.0.1</stp>
        <stp>1</stp>
        <stp>N</stp>
        <stp>40772</stp>
        <stp>1</stp>
        <stp>PerDevice</stp>
        <stp>502</stp>
        <tr r="BH20" s="1"/>
      </tp>
      <tp t="s">
        <v>84</v>
        <stp/>
        <stp>127.0.0.1</stp>
        <stp>1</stp>
        <stp>N</stp>
        <stp>40771</stp>
        <stp>1</stp>
        <stp>PerDevice</stp>
        <stp>502</stp>
        <tr r="BH19" s="1"/>
      </tp>
      <tp t="s">
        <v>84</v>
        <stp/>
        <stp>127.0.0.1</stp>
        <stp>1</stp>
        <stp>N</stp>
        <stp>40770</stp>
        <stp>1</stp>
        <stp>PerDevice</stp>
        <stp>502</stp>
        <tr r="BH18" s="1"/>
      </tp>
      <tp t="s">
        <v>87</v>
        <stp/>
        <stp>127.0.0.1</stp>
        <stp>1</stp>
        <stp>N</stp>
        <stp>40777</stp>
        <stp>1</stp>
        <stp>PerDevice</stp>
        <stp>502</stp>
        <tr r="BH25" s="1"/>
      </tp>
      <tp t="s">
        <v>87</v>
        <stp/>
        <stp>127.0.0.1</stp>
        <stp>1</stp>
        <stp>N</stp>
        <stp>40776</stp>
        <stp>1</stp>
        <stp>PerDevice</stp>
        <stp>502</stp>
        <tr r="BH24" s="1"/>
      </tp>
      <tp t="s">
        <v>84</v>
        <stp/>
        <stp>127.0.0.1</stp>
        <stp>1</stp>
        <stp>N</stp>
        <stp>40775</stp>
        <stp>1</stp>
        <stp>PerDevice</stp>
        <stp>502</stp>
        <tr r="BH23" s="1"/>
      </tp>
      <tp t="s">
        <v>84</v>
        <stp/>
        <stp>127.0.0.1</stp>
        <stp>1</stp>
        <stp>N</stp>
        <stp>40774</stp>
        <stp>1</stp>
        <stp>PerDevice</stp>
        <stp>502</stp>
        <tr r="BH22" s="1"/>
      </tp>
      <tp t="s">
        <v>84</v>
        <stp/>
        <stp>127.0.0.1</stp>
        <stp>1</stp>
        <stp>N</stp>
        <stp>40769</stp>
        <stp>1</stp>
        <stp>PerDevice</stp>
        <stp>502</stp>
        <tr r="BH17" s="1"/>
      </tp>
      <tp t="s">
        <v>84</v>
        <stp/>
        <stp>127.0.0.1</stp>
        <stp>1</stp>
        <stp>N</stp>
        <stp>40763</stp>
        <stp>1</stp>
        <stp>PerDevice</stp>
        <stp>502</stp>
        <tr r="BG43" s="1"/>
      </tp>
      <tp t="s">
        <v>84</v>
        <stp/>
        <stp>127.0.0.1</stp>
        <stp>1</stp>
        <stp>N</stp>
        <stp>40762</stp>
        <stp>1</stp>
        <stp>PerDevice</stp>
        <stp>502</stp>
        <tr r="BG42" s="1"/>
      </tp>
      <tp t="s">
        <v>84</v>
        <stp/>
        <stp>127.0.0.1</stp>
        <stp>1</stp>
        <stp>N</stp>
        <stp>40761</stp>
        <stp>1</stp>
        <stp>PerDevice</stp>
        <stp>502</stp>
        <tr r="BG41" s="1"/>
      </tp>
      <tp t="s">
        <v>84</v>
        <stp/>
        <stp>127.0.0.1</stp>
        <stp>1</stp>
        <stp>N</stp>
        <stp>40760</stp>
        <stp>1</stp>
        <stp>PerDevice</stp>
        <stp>502</stp>
        <tr r="BG40" s="1"/>
      </tp>
      <tp t="s">
        <v>84</v>
        <stp/>
        <stp>127.0.0.1</stp>
        <stp>1</stp>
        <stp>N</stp>
        <stp>40767</stp>
        <stp>1</stp>
        <stp>PerDevice</stp>
        <stp>502</stp>
        <tr r="BG47" s="1"/>
      </tp>
      <tp t="s">
        <v>84</v>
        <stp/>
        <stp>127.0.0.1</stp>
        <stp>1</stp>
        <stp>N</stp>
        <stp>40766</stp>
        <stp>1</stp>
        <stp>PerDevice</stp>
        <stp>502</stp>
        <tr r="BG46" s="1"/>
      </tp>
      <tp t="s">
        <v>84</v>
        <stp/>
        <stp>127.0.0.1</stp>
        <stp>1</stp>
        <stp>N</stp>
        <stp>40765</stp>
        <stp>1</stp>
        <stp>PerDevice</stp>
        <stp>502</stp>
        <tr r="BG45" s="1"/>
      </tp>
      <tp t="s">
        <v>84</v>
        <stp/>
        <stp>127.0.0.1</stp>
        <stp>1</stp>
        <stp>N</stp>
        <stp>40764</stp>
        <stp>1</stp>
        <stp>PerDevice</stp>
        <stp>502</stp>
        <tr r="BG44" s="1"/>
      </tp>
      <tp t="s">
        <v>84</v>
        <stp/>
        <stp>127.0.0.1</stp>
        <stp>1</stp>
        <stp>N</stp>
        <stp>40759</stp>
        <stp>1</stp>
        <stp>PerDevice</stp>
        <stp>502</stp>
        <tr r="BG39" s="1"/>
      </tp>
      <tp t="s">
        <v>84</v>
        <stp/>
        <stp>127.0.0.1</stp>
        <stp>1</stp>
        <stp>N</stp>
        <stp>40758</stp>
        <stp>1</stp>
        <stp>PerDevice</stp>
        <stp>502</stp>
        <tr r="BG38" s="1"/>
      </tp>
      <tp t="s">
        <v>84</v>
        <stp/>
        <stp>127.0.0.1</stp>
        <stp>1</stp>
        <stp>N</stp>
        <stp>40753</stp>
        <stp>1</stp>
        <stp>PerDevice</stp>
        <stp>502</stp>
        <tr r="BG33" s="1"/>
      </tp>
      <tp t="s">
        <v>84</v>
        <stp/>
        <stp>127.0.0.1</stp>
        <stp>1</stp>
        <stp>N</stp>
        <stp>40752</stp>
        <stp>1</stp>
        <stp>PerDevice</stp>
        <stp>502</stp>
        <tr r="BG32" s="1"/>
      </tp>
      <tp t="s">
        <v>84</v>
        <stp/>
        <stp>127.0.0.1</stp>
        <stp>1</stp>
        <stp>N</stp>
        <stp>40751</stp>
        <stp>1</stp>
        <stp>PerDevice</stp>
        <stp>502</stp>
        <tr r="BG31" s="1"/>
      </tp>
      <tp t="s">
        <v>84</v>
        <stp/>
        <stp>127.0.0.1</stp>
        <stp>1</stp>
        <stp>N</stp>
        <stp>40750</stp>
        <stp>1</stp>
        <stp>PerDevice</stp>
        <stp>502</stp>
        <tr r="BG30" s="1"/>
      </tp>
      <tp t="s">
        <v>84</v>
        <stp/>
        <stp>127.0.0.1</stp>
        <stp>1</stp>
        <stp>N</stp>
        <stp>40757</stp>
        <stp>1</stp>
        <stp>PerDevice</stp>
        <stp>502</stp>
        <tr r="BG37" s="1"/>
      </tp>
      <tp t="s">
        <v>84</v>
        <stp/>
        <stp>127.0.0.1</stp>
        <stp>1</stp>
        <stp>N</stp>
        <stp>40756</stp>
        <stp>1</stp>
        <stp>PerDevice</stp>
        <stp>502</stp>
        <tr r="BG36" s="1"/>
      </tp>
      <tp t="s">
        <v>84</v>
        <stp/>
        <stp>127.0.0.1</stp>
        <stp>1</stp>
        <stp>N</stp>
        <stp>40755</stp>
        <stp>1</stp>
        <stp>PerDevice</stp>
        <stp>502</stp>
        <tr r="BG35" s="1"/>
      </tp>
      <tp t="s">
        <v>84</v>
        <stp/>
        <stp>127.0.0.1</stp>
        <stp>1</stp>
        <stp>N</stp>
        <stp>40754</stp>
        <stp>1</stp>
        <stp>PerDevice</stp>
        <stp>502</stp>
        <tr r="BG34" s="1"/>
      </tp>
      <tp t="s">
        <v>84</v>
        <stp/>
        <stp>127.0.0.1</stp>
        <stp>1</stp>
        <stp>N</stp>
        <stp>40749</stp>
        <stp>1</stp>
        <stp>PerDevice</stp>
        <stp>502</stp>
        <tr r="BG29" s="1"/>
      </tp>
      <tp t="s">
        <v>84</v>
        <stp/>
        <stp>127.0.0.1</stp>
        <stp>1</stp>
        <stp>N</stp>
        <stp>40748</stp>
        <stp>1</stp>
        <stp>PerDevice</stp>
        <stp>502</stp>
        <tr r="BG28" s="1"/>
      </tp>
      <tp t="s">
        <v>60</v>
        <stp/>
        <stp>127.0.0.1</stp>
        <stp>1</stp>
        <stp>N</stp>
        <stp>40743</stp>
        <stp>1</stp>
        <stp>PerDevice</stp>
        <stp>502</stp>
        <tr r="BG23" s="1"/>
      </tp>
      <tp t="s">
        <v>84</v>
        <stp/>
        <stp>127.0.0.1</stp>
        <stp>1</stp>
        <stp>N</stp>
        <stp>40742</stp>
        <stp>1</stp>
        <stp>PerDevice</stp>
        <stp>502</stp>
        <tr r="BG22" s="1"/>
      </tp>
      <tp t="s">
        <v>60</v>
        <stp/>
        <stp>127.0.0.1</stp>
        <stp>1</stp>
        <stp>N</stp>
        <stp>40741</stp>
        <stp>1</stp>
        <stp>PerDevice</stp>
        <stp>502</stp>
        <tr r="BG21" s="1"/>
      </tp>
      <tp t="s">
        <v>60</v>
        <stp/>
        <stp>127.0.0.1</stp>
        <stp>1</stp>
        <stp>N</stp>
        <stp>40740</stp>
        <stp>1</stp>
        <stp>PerDevice</stp>
        <stp>502</stp>
        <tr r="BG20" s="1"/>
      </tp>
      <tp t="s">
        <v>84</v>
        <stp/>
        <stp>127.0.0.1</stp>
        <stp>1</stp>
        <stp>N</stp>
        <stp>40747</stp>
        <stp>1</stp>
        <stp>PerDevice</stp>
        <stp>502</stp>
        <tr r="BG27" s="1"/>
      </tp>
      <tp t="s">
        <v>84</v>
        <stp/>
        <stp>127.0.0.1</stp>
        <stp>1</stp>
        <stp>N</stp>
        <stp>40746</stp>
        <stp>1</stp>
        <stp>PerDevice</stp>
        <stp>502</stp>
        <tr r="BG26" s="1"/>
      </tp>
      <tp t="s">
        <v>84</v>
        <stp/>
        <stp>127.0.0.1</stp>
        <stp>1</stp>
        <stp>N</stp>
        <stp>40745</stp>
        <stp>1</stp>
        <stp>PerDevice</stp>
        <stp>502</stp>
        <tr r="BG25" s="1"/>
      </tp>
      <tp t="s">
        <v>84</v>
        <stp/>
        <stp>127.0.0.1</stp>
        <stp>1</stp>
        <stp>N</stp>
        <stp>40744</stp>
        <stp>1</stp>
        <stp>PerDevice</stp>
        <stp>502</stp>
        <tr r="BG24" s="1"/>
      </tp>
      <tp t="s">
        <v>84</v>
        <stp/>
        <stp>127.0.0.1</stp>
        <stp>1</stp>
        <stp>N</stp>
        <stp>40739</stp>
        <stp>1</stp>
        <stp>PerDevice</stp>
        <stp>502</stp>
        <tr r="BG19" s="1"/>
      </tp>
      <tp t="s">
        <v>84</v>
        <stp/>
        <stp>127.0.0.1</stp>
        <stp>1</stp>
        <stp>N</stp>
        <stp>40738</stp>
        <stp>1</stp>
        <stp>PerDevice</stp>
        <stp>502</stp>
        <tr r="BG18" s="1"/>
      </tp>
      <tp t="s">
        <v>84</v>
        <stp/>
        <stp>127.0.0.1</stp>
        <stp>1</stp>
        <stp>N</stp>
        <stp>40733</stp>
        <stp>1</stp>
        <stp>PerDevice</stp>
        <stp>502</stp>
        <tr r="BF45" s="1"/>
      </tp>
      <tp t="s">
        <v>84</v>
        <stp/>
        <stp>127.0.0.1</stp>
        <stp>1</stp>
        <stp>N</stp>
        <stp>40732</stp>
        <stp>1</stp>
        <stp>PerDevice</stp>
        <stp>502</stp>
        <tr r="BF44" s="1"/>
      </tp>
      <tp t="s">
        <v>84</v>
        <stp/>
        <stp>127.0.0.1</stp>
        <stp>1</stp>
        <stp>N</stp>
        <stp>40731</stp>
        <stp>1</stp>
        <stp>PerDevice</stp>
        <stp>502</stp>
        <tr r="BF43" s="1"/>
      </tp>
      <tp t="s">
        <v>84</v>
        <stp/>
        <stp>127.0.0.1</stp>
        <stp>1</stp>
        <stp>N</stp>
        <stp>40730</stp>
        <stp>1</stp>
        <stp>PerDevice</stp>
        <stp>502</stp>
        <tr r="BF42" s="1"/>
      </tp>
      <tp t="s">
        <v>84</v>
        <stp/>
        <stp>127.0.0.1</stp>
        <stp>1</stp>
        <stp>N</stp>
        <stp>40737</stp>
        <stp>1</stp>
        <stp>PerDevice</stp>
        <stp>502</stp>
        <tr r="BG17" s="1"/>
      </tp>
      <tp t="s">
        <v>84</v>
        <stp/>
        <stp>127.0.0.1</stp>
        <stp>1</stp>
        <stp>N</stp>
        <stp>40735</stp>
        <stp>1</stp>
        <stp>PerDevice</stp>
        <stp>502</stp>
        <tr r="BF47" s="1"/>
      </tp>
      <tp t="s">
        <v>84</v>
        <stp/>
        <stp>127.0.0.1</stp>
        <stp>1</stp>
        <stp>N</stp>
        <stp>40734</stp>
        <stp>1</stp>
        <stp>PerDevice</stp>
        <stp>502</stp>
        <tr r="BF46" s="1"/>
      </tp>
      <tp t="s">
        <v>60</v>
        <stp/>
        <stp>127.0.0.1</stp>
        <stp>1</stp>
        <stp>N</stp>
        <stp>40729</stp>
        <stp>1</stp>
        <stp>PerDevice</stp>
        <stp>502</stp>
        <tr r="BF41" s="1"/>
      </tp>
      <tp t="s">
        <v>84</v>
        <stp/>
        <stp>127.0.0.1</stp>
        <stp>1</stp>
        <stp>N</stp>
        <stp>40728</stp>
        <stp>1</stp>
        <stp>PerDevice</stp>
        <stp>502</stp>
        <tr r="BF40" s="1"/>
      </tp>
      <tp t="s">
        <v>87</v>
        <stp/>
        <stp>127.0.0.1</stp>
        <stp>1</stp>
        <stp>N</stp>
        <stp>40723</stp>
        <stp>1</stp>
        <stp>PerDevice</stp>
        <stp>502</stp>
        <tr r="BF35" s="1"/>
      </tp>
      <tp t="s">
        <v>87</v>
        <stp/>
        <stp>127.0.0.1</stp>
        <stp>1</stp>
        <stp>N</stp>
        <stp>40722</stp>
        <stp>1</stp>
        <stp>PerDevice</stp>
        <stp>502</stp>
        <tr r="BF34" s="1"/>
      </tp>
      <tp t="s">
        <v>87</v>
        <stp/>
        <stp>127.0.0.1</stp>
        <stp>1</stp>
        <stp>N</stp>
        <stp>40721</stp>
        <stp>1</stp>
        <stp>PerDevice</stp>
        <stp>502</stp>
        <tr r="BF33" s="1"/>
      </tp>
      <tp t="s">
        <v>87</v>
        <stp/>
        <stp>127.0.0.1</stp>
        <stp>1</stp>
        <stp>N</stp>
        <stp>40720</stp>
        <stp>1</stp>
        <stp>PerDevice</stp>
        <stp>502</stp>
        <tr r="BF32" s="1"/>
      </tp>
      <tp t="s">
        <v>60</v>
        <stp/>
        <stp>127.0.0.1</stp>
        <stp>1</stp>
        <stp>N</stp>
        <stp>40727</stp>
        <stp>1</stp>
        <stp>PerDevice</stp>
        <stp>502</stp>
        <tr r="BF39" s="1"/>
      </tp>
      <tp t="s">
        <v>60</v>
        <stp/>
        <stp>127.0.0.1</stp>
        <stp>1</stp>
        <stp>N</stp>
        <stp>40726</stp>
        <stp>1</stp>
        <stp>PerDevice</stp>
        <stp>502</stp>
        <tr r="BF38" s="1"/>
      </tp>
      <tp t="s">
        <v>87</v>
        <stp/>
        <stp>127.0.0.1</stp>
        <stp>1</stp>
        <stp>N</stp>
        <stp>40725</stp>
        <stp>1</stp>
        <stp>PerDevice</stp>
        <stp>502</stp>
        <tr r="BF37" s="1"/>
      </tp>
      <tp t="s">
        <v>87</v>
        <stp/>
        <stp>127.0.0.1</stp>
        <stp>1</stp>
        <stp>N</stp>
        <stp>40724</stp>
        <stp>1</stp>
        <stp>PerDevice</stp>
        <stp>502</stp>
        <tr r="BF36" s="1"/>
      </tp>
      <tp t="s">
        <v>84</v>
        <stp/>
        <stp>127.0.0.1</stp>
        <stp>1</stp>
        <stp>N</stp>
        <stp>40719</stp>
        <stp>1</stp>
        <stp>PerDevice</stp>
        <stp>502</stp>
        <tr r="BF31" s="1"/>
      </tp>
      <tp t="s">
        <v>84</v>
        <stp/>
        <stp>127.0.0.1</stp>
        <stp>1</stp>
        <stp>N</stp>
        <stp>40718</stp>
        <stp>1</stp>
        <stp>PerDevice</stp>
        <stp>502</stp>
        <tr r="BF30" s="1"/>
      </tp>
      <tp t="s">
        <v>87</v>
        <stp/>
        <stp>127.0.0.1</stp>
        <stp>1</stp>
        <stp>N</stp>
        <stp>40713</stp>
        <stp>1</stp>
        <stp>PerDevice</stp>
        <stp>502</stp>
        <tr r="BF25" s="1"/>
      </tp>
      <tp t="s">
        <v>60</v>
        <stp/>
        <stp>127.0.0.1</stp>
        <stp>1</stp>
        <stp>N</stp>
        <stp>40712</stp>
        <stp>1</stp>
        <stp>PerDevice</stp>
        <stp>502</stp>
        <tr r="BF24" s="1"/>
      </tp>
      <tp t="s">
        <v>87</v>
        <stp/>
        <stp>127.0.0.1</stp>
        <stp>1</stp>
        <stp>N</stp>
        <stp>40711</stp>
        <stp>1</stp>
        <stp>PerDevice</stp>
        <stp>502</stp>
        <tr r="BF23" s="1"/>
      </tp>
      <tp t="s">
        <v>87</v>
        <stp/>
        <stp>127.0.0.1</stp>
        <stp>1</stp>
        <stp>N</stp>
        <stp>40710</stp>
        <stp>1</stp>
        <stp>PerDevice</stp>
        <stp>502</stp>
        <tr r="BF22" s="1"/>
      </tp>
      <tp t="s">
        <v>84</v>
        <stp/>
        <stp>127.0.0.1</stp>
        <stp>1</stp>
        <stp>N</stp>
        <stp>40717</stp>
        <stp>1</stp>
        <stp>PerDevice</stp>
        <stp>502</stp>
        <tr r="BF29" s="1"/>
      </tp>
      <tp t="s">
        <v>84</v>
        <stp/>
        <stp>127.0.0.1</stp>
        <stp>1</stp>
        <stp>N</stp>
        <stp>40716</stp>
        <stp>1</stp>
        <stp>PerDevice</stp>
        <stp>502</stp>
        <tr r="BF28" s="1"/>
      </tp>
      <tp t="s">
        <v>60</v>
        <stp/>
        <stp>127.0.0.1</stp>
        <stp>1</stp>
        <stp>N</stp>
        <stp>40715</stp>
        <stp>1</stp>
        <stp>PerDevice</stp>
        <stp>502</stp>
        <tr r="BF27" s="1"/>
      </tp>
      <tp t="s">
        <v>60</v>
        <stp/>
        <stp>127.0.0.1</stp>
        <stp>1</stp>
        <stp>N</stp>
        <stp>40714</stp>
        <stp>1</stp>
        <stp>PerDevice</stp>
        <stp>502</stp>
        <tr r="BF26" s="1"/>
      </tp>
      <tp t="s">
        <v>87</v>
        <stp/>
        <stp>127.0.0.1</stp>
        <stp>1</stp>
        <stp>N</stp>
        <stp>40709</stp>
        <stp>1</stp>
        <stp>PerDevice</stp>
        <stp>502</stp>
        <tr r="BF21" s="1"/>
      </tp>
      <tp t="s">
        <v>87</v>
        <stp/>
        <stp>127.0.0.1</stp>
        <stp>1</stp>
        <stp>N</stp>
        <stp>40708</stp>
        <stp>1</stp>
        <stp>PerDevice</stp>
        <stp>502</stp>
        <tr r="BF20" s="1"/>
      </tp>
      <tp t="s">
        <v>84</v>
        <stp/>
        <stp>127.0.0.1</stp>
        <stp>1</stp>
        <stp>N</stp>
        <stp>40703</stp>
        <stp>1</stp>
        <stp>PerDevice</stp>
        <stp>502</stp>
        <tr r="BE47" s="1"/>
      </tp>
      <tp t="s">
        <v>84</v>
        <stp/>
        <stp>127.0.0.1</stp>
        <stp>1</stp>
        <stp>N</stp>
        <stp>40702</stp>
        <stp>1</stp>
        <stp>PerDevice</stp>
        <stp>502</stp>
        <tr r="BE46" s="1"/>
      </tp>
      <tp t="s">
        <v>84</v>
        <stp/>
        <stp>127.0.0.1</stp>
        <stp>1</stp>
        <stp>N</stp>
        <stp>40701</stp>
        <stp>1</stp>
        <stp>PerDevice</stp>
        <stp>502</stp>
        <tr r="BE45" s="1"/>
      </tp>
      <tp t="s">
        <v>84</v>
        <stp/>
        <stp>127.0.0.1</stp>
        <stp>1</stp>
        <stp>N</stp>
        <stp>40700</stp>
        <stp>1</stp>
        <stp>PerDevice</stp>
        <stp>502</stp>
        <tr r="BE44" s="1"/>
      </tp>
      <tp t="s">
        <v>84</v>
        <stp/>
        <stp>127.0.0.1</stp>
        <stp>1</stp>
        <stp>N</stp>
        <stp>40707</stp>
        <stp>1</stp>
        <stp>PerDevice</stp>
        <stp>502</stp>
        <tr r="BF19" s="1"/>
      </tp>
      <tp t="s">
        <v>84</v>
        <stp/>
        <stp>127.0.0.1</stp>
        <stp>1</stp>
        <stp>N</stp>
        <stp>40706</stp>
        <stp>1</stp>
        <stp>PerDevice</stp>
        <stp>502</stp>
        <tr r="BF18" s="1"/>
      </tp>
      <tp t="s">
        <v>84</v>
        <stp/>
        <stp>127.0.0.1</stp>
        <stp>1</stp>
        <stp>N</stp>
        <stp>40705</stp>
        <stp>1</stp>
        <stp>PerDevice</stp>
        <stp>502</stp>
        <tr r="BF17" s="1"/>
      </tp>
      <tp t="s">
        <v>60</v>
        <stp/>
        <stp>127.0.0.1</stp>
        <stp>1</stp>
        <stp>N</stp>
        <stp>40099</stp>
        <stp>1</stp>
        <stp>PerDevice</stp>
        <stp>502</stp>
        <tr r="AM19" s="1"/>
      </tp>
      <tp t="s">
        <v>60</v>
        <stp/>
        <stp>127.0.0.1</stp>
        <stp>1</stp>
        <stp>N</stp>
        <stp>40098</stp>
        <stp>1</stp>
        <stp>PerDevice</stp>
        <stp>502</stp>
        <tr r="AM18" s="1"/>
      </tp>
      <tp t="s">
        <v>87</v>
        <stp/>
        <stp>127.0.0.1</stp>
        <stp>1</stp>
        <stp>N</stp>
        <stp>40093</stp>
        <stp>1</stp>
        <stp>PerDevice</stp>
        <stp>502</stp>
        <tr r="AL45" s="1"/>
      </tp>
      <tp t="s">
        <v>87</v>
        <stp/>
        <stp>127.0.0.1</stp>
        <stp>1</stp>
        <stp>N</stp>
        <stp>40092</stp>
        <stp>1</stp>
        <stp>PerDevice</stp>
        <stp>502</stp>
        <tr r="AL44" s="1"/>
      </tp>
      <tp t="s">
        <v>87</v>
        <stp/>
        <stp>127.0.0.1</stp>
        <stp>1</stp>
        <stp>N</stp>
        <stp>40091</stp>
        <stp>1</stp>
        <stp>PerDevice</stp>
        <stp>502</stp>
        <tr r="AL43" s="1"/>
      </tp>
      <tp t="s">
        <v>87</v>
        <stp/>
        <stp>127.0.0.1</stp>
        <stp>1</stp>
        <stp>N</stp>
        <stp>40090</stp>
        <stp>1</stp>
        <stp>PerDevice</stp>
        <stp>502</stp>
        <tr r="AL42" s="1"/>
      </tp>
      <tp t="s">
        <v>60</v>
        <stp/>
        <stp>127.0.0.1</stp>
        <stp>1</stp>
        <stp>N</stp>
        <stp>40097</stp>
        <stp>1</stp>
        <stp>PerDevice</stp>
        <stp>502</stp>
        <tr r="AM17" s="1"/>
      </tp>
      <tp t="s">
        <v>87</v>
        <stp/>
        <stp>127.0.0.1</stp>
        <stp>1</stp>
        <stp>N</stp>
        <stp>40095</stp>
        <stp>1</stp>
        <stp>PerDevice</stp>
        <stp>502</stp>
        <tr r="AL47" s="1"/>
      </tp>
      <tp t="s">
        <v>87</v>
        <stp/>
        <stp>127.0.0.1</stp>
        <stp>1</stp>
        <stp>N</stp>
        <stp>40094</stp>
        <stp>1</stp>
        <stp>PerDevice</stp>
        <stp>502</stp>
        <tr r="AL46" s="1"/>
      </tp>
      <tp t="s">
        <v>84</v>
        <stp/>
        <stp>127.0.0.1</stp>
        <stp>1</stp>
        <stp>N</stp>
        <stp>40089</stp>
        <stp>1</stp>
        <stp>PerDevice</stp>
        <stp>502</stp>
        <tr r="AL41" s="1"/>
      </tp>
      <tp t="s">
        <v>84</v>
        <stp/>
        <stp>127.0.0.1</stp>
        <stp>1</stp>
        <stp>N</stp>
        <stp>40088</stp>
        <stp>1</stp>
        <stp>PerDevice</stp>
        <stp>502</stp>
        <tr r="AL40" s="1"/>
      </tp>
      <tp t="s">
        <v>84</v>
        <stp/>
        <stp>127.0.0.1</stp>
        <stp>1</stp>
        <stp>N</stp>
        <stp>40083</stp>
        <stp>1</stp>
        <stp>PerDevice</stp>
        <stp>502</stp>
        <tr r="AL35" s="1"/>
      </tp>
      <tp t="s">
        <v>84</v>
        <stp/>
        <stp>127.0.0.1</stp>
        <stp>1</stp>
        <stp>N</stp>
        <stp>40082</stp>
        <stp>1</stp>
        <stp>PerDevice</stp>
        <stp>502</stp>
        <tr r="AL34" s="1"/>
      </tp>
      <tp t="s">
        <v>84</v>
        <stp/>
        <stp>127.0.0.1</stp>
        <stp>1</stp>
        <stp>N</stp>
        <stp>40081</stp>
        <stp>1</stp>
        <stp>PerDevice</stp>
        <stp>502</stp>
        <tr r="AL33" s="1"/>
      </tp>
      <tp t="s">
        <v>84</v>
        <stp/>
        <stp>127.0.0.1</stp>
        <stp>1</stp>
        <stp>N</stp>
        <stp>40080</stp>
        <stp>1</stp>
        <stp>PerDevice</stp>
        <stp>502</stp>
        <tr r="AL32" s="1"/>
      </tp>
      <tp t="s">
        <v>84</v>
        <stp/>
        <stp>127.0.0.1</stp>
        <stp>1</stp>
        <stp>N</stp>
        <stp>40087</stp>
        <stp>1</stp>
        <stp>PerDevice</stp>
        <stp>502</stp>
        <tr r="AL39" s="1"/>
      </tp>
      <tp t="s">
        <v>84</v>
        <stp/>
        <stp>127.0.0.1</stp>
        <stp>1</stp>
        <stp>N</stp>
        <stp>40086</stp>
        <stp>1</stp>
        <stp>PerDevice</stp>
        <stp>502</stp>
        <tr r="AL38" s="1"/>
      </tp>
      <tp t="s">
        <v>84</v>
        <stp/>
        <stp>127.0.0.1</stp>
        <stp>1</stp>
        <stp>N</stp>
        <stp>40085</stp>
        <stp>1</stp>
        <stp>PerDevice</stp>
        <stp>502</stp>
        <tr r="AL37" s="1"/>
      </tp>
      <tp t="s">
        <v>84</v>
        <stp/>
        <stp>127.0.0.1</stp>
        <stp>1</stp>
        <stp>N</stp>
        <stp>40084</stp>
        <stp>1</stp>
        <stp>PerDevice</stp>
        <stp>502</stp>
        <tr r="AL36" s="1"/>
      </tp>
      <tp t="s">
        <v>87</v>
        <stp/>
        <stp>127.0.0.1</stp>
        <stp>1</stp>
        <stp>N</stp>
        <stp>40079</stp>
        <stp>1</stp>
        <stp>PerDevice</stp>
        <stp>502</stp>
        <tr r="AL31" s="1"/>
      </tp>
      <tp t="s">
        <v>87</v>
        <stp/>
        <stp>127.0.0.1</stp>
        <stp>1</stp>
        <stp>N</stp>
        <stp>40078</stp>
        <stp>1</stp>
        <stp>PerDevice</stp>
        <stp>502</stp>
        <tr r="AL30" s="1"/>
      </tp>
      <tp t="s">
        <v>84</v>
        <stp/>
        <stp>127.0.0.1</stp>
        <stp>1</stp>
        <stp>N</stp>
        <stp>40073</stp>
        <stp>1</stp>
        <stp>PerDevice</stp>
        <stp>502</stp>
        <tr r="AL25" s="1"/>
      </tp>
      <tp t="s">
        <v>84</v>
        <stp/>
        <stp>127.0.0.1</stp>
        <stp>1</stp>
        <stp>N</stp>
        <stp>40072</stp>
        <stp>1</stp>
        <stp>PerDevice</stp>
        <stp>502</stp>
        <tr r="AL24" s="1"/>
      </tp>
      <tp t="s">
        <v>84</v>
        <stp/>
        <stp>127.0.0.1</stp>
        <stp>1</stp>
        <stp>N</stp>
        <stp>40071</stp>
        <stp>1</stp>
        <stp>PerDevice</stp>
        <stp>502</stp>
        <tr r="AL23" s="1"/>
      </tp>
      <tp t="s">
        <v>84</v>
        <stp/>
        <stp>127.0.0.1</stp>
        <stp>1</stp>
        <stp>N</stp>
        <stp>40070</stp>
        <stp>1</stp>
        <stp>PerDevice</stp>
        <stp>502</stp>
        <tr r="AL22" s="1"/>
      </tp>
      <tp t="s">
        <v>87</v>
        <stp/>
        <stp>127.0.0.1</stp>
        <stp>1</stp>
        <stp>N</stp>
        <stp>40077</stp>
        <stp>1</stp>
        <stp>PerDevice</stp>
        <stp>502</stp>
        <tr r="AL29" s="1"/>
      </tp>
      <tp t="s">
        <v>87</v>
        <stp/>
        <stp>127.0.0.1</stp>
        <stp>1</stp>
        <stp>N</stp>
        <stp>40076</stp>
        <stp>1</stp>
        <stp>PerDevice</stp>
        <stp>502</stp>
        <tr r="AL28" s="1"/>
      </tp>
      <tp t="s">
        <v>84</v>
        <stp/>
        <stp>127.0.0.1</stp>
        <stp>1</stp>
        <stp>N</stp>
        <stp>40075</stp>
        <stp>1</stp>
        <stp>PerDevice</stp>
        <stp>502</stp>
        <tr r="AL27" s="1"/>
      </tp>
      <tp t="s">
        <v>84</v>
        <stp/>
        <stp>127.0.0.1</stp>
        <stp>1</stp>
        <stp>N</stp>
        <stp>40074</stp>
        <stp>1</stp>
        <stp>PerDevice</stp>
        <stp>502</stp>
        <tr r="AL26" s="1"/>
      </tp>
      <tp t="s">
        <v>84</v>
        <stp/>
        <stp>127.0.0.1</stp>
        <stp>1</stp>
        <stp>N</stp>
        <stp>40069</stp>
        <stp>1</stp>
        <stp>PerDevice</stp>
        <stp>502</stp>
        <tr r="AL21" s="1"/>
      </tp>
      <tp t="s">
        <v>84</v>
        <stp/>
        <stp>127.0.0.1</stp>
        <stp>1</stp>
        <stp>N</stp>
        <stp>40068</stp>
        <stp>1</stp>
        <stp>PerDevice</stp>
        <stp>502</stp>
        <tr r="AL20" s="1"/>
      </tp>
      <tp t="s">
        <v>84</v>
        <stp/>
        <stp>127.0.0.1</stp>
        <stp>1</stp>
        <stp>N</stp>
        <stp>40063</stp>
        <stp>1</stp>
        <stp>PerDevice</stp>
        <stp>502</stp>
        <tr r="AK47" s="1"/>
      </tp>
      <tp t="s">
        <v>84</v>
        <stp/>
        <stp>127.0.0.1</stp>
        <stp>1</stp>
        <stp>N</stp>
        <stp>40062</stp>
        <stp>1</stp>
        <stp>PerDevice</stp>
        <stp>502</stp>
        <tr r="AK46" s="1"/>
      </tp>
      <tp t="s">
        <v>84</v>
        <stp/>
        <stp>127.0.0.1</stp>
        <stp>1</stp>
        <stp>N</stp>
        <stp>40061</stp>
        <stp>1</stp>
        <stp>PerDevice</stp>
        <stp>502</stp>
        <tr r="AK45" s="1"/>
      </tp>
      <tp t="s">
        <v>84</v>
        <stp/>
        <stp>127.0.0.1</stp>
        <stp>1</stp>
        <stp>N</stp>
        <stp>40060</stp>
        <stp>1</stp>
        <stp>PerDevice</stp>
        <stp>502</stp>
        <tr r="AK44" s="1"/>
      </tp>
      <tp t="s">
        <v>84</v>
        <stp/>
        <stp>127.0.0.1</stp>
        <stp>1</stp>
        <stp>N</stp>
        <stp>40067</stp>
        <stp>1</stp>
        <stp>PerDevice</stp>
        <stp>502</stp>
        <tr r="AL19" s="1"/>
      </tp>
      <tp t="s">
        <v>84</v>
        <stp/>
        <stp>127.0.0.1</stp>
        <stp>1</stp>
        <stp>N</stp>
        <stp>40066</stp>
        <stp>1</stp>
        <stp>PerDevice</stp>
        <stp>502</stp>
        <tr r="AL18" s="1"/>
      </tp>
      <tp t="s">
        <v>84</v>
        <stp/>
        <stp>127.0.0.1</stp>
        <stp>1</stp>
        <stp>N</stp>
        <stp>40065</stp>
        <stp>1</stp>
        <stp>PerDevice</stp>
        <stp>502</stp>
        <tr r="AL17" s="1"/>
      </tp>
      <tp t="s">
        <v>84</v>
        <stp/>
        <stp>127.0.0.1</stp>
        <stp>1</stp>
        <stp>N</stp>
        <stp>40059</stp>
        <stp>1</stp>
        <stp>PerDevice</stp>
        <stp>502</stp>
        <tr r="AK43" s="1"/>
      </tp>
      <tp t="s">
        <v>84</v>
        <stp/>
        <stp>127.0.0.1</stp>
        <stp>1</stp>
        <stp>N</stp>
        <stp>40058</stp>
        <stp>1</stp>
        <stp>PerDevice</stp>
        <stp>502</stp>
        <tr r="AK42" s="1"/>
      </tp>
      <tp t="s">
        <v>84</v>
        <stp/>
        <stp>127.0.0.1</stp>
        <stp>1</stp>
        <stp>N</stp>
        <stp>40053</stp>
        <stp>1</stp>
        <stp>PerDevice</stp>
        <stp>502</stp>
        <tr r="AK37" s="1"/>
      </tp>
      <tp t="s">
        <v>84</v>
        <stp/>
        <stp>127.0.0.1</stp>
        <stp>1</stp>
        <stp>N</stp>
        <stp>40052</stp>
        <stp>1</stp>
        <stp>PerDevice</stp>
        <stp>502</stp>
        <tr r="AK36" s="1"/>
      </tp>
      <tp t="s">
        <v>84</v>
        <stp/>
        <stp>127.0.0.1</stp>
        <stp>1</stp>
        <stp>N</stp>
        <stp>40051</stp>
        <stp>1</stp>
        <stp>PerDevice</stp>
        <stp>502</stp>
        <tr r="AK35" s="1"/>
      </tp>
      <tp t="s">
        <v>84</v>
        <stp/>
        <stp>127.0.0.1</stp>
        <stp>1</stp>
        <stp>N</stp>
        <stp>40050</stp>
        <stp>1</stp>
        <stp>PerDevice</stp>
        <stp>502</stp>
        <tr r="AK34" s="1"/>
      </tp>
      <tp t="s">
        <v>84</v>
        <stp/>
        <stp>127.0.0.1</stp>
        <stp>1</stp>
        <stp>N</stp>
        <stp>40057</stp>
        <stp>1</stp>
        <stp>PerDevice</stp>
        <stp>502</stp>
        <tr r="AK41" s="1"/>
      </tp>
      <tp t="s">
        <v>84</v>
        <stp/>
        <stp>127.0.0.1</stp>
        <stp>1</stp>
        <stp>N</stp>
        <stp>40056</stp>
        <stp>1</stp>
        <stp>PerDevice</stp>
        <stp>502</stp>
        <tr r="AK40" s="1"/>
      </tp>
      <tp t="s">
        <v>84</v>
        <stp/>
        <stp>127.0.0.1</stp>
        <stp>1</stp>
        <stp>N</stp>
        <stp>40055</stp>
        <stp>1</stp>
        <stp>PerDevice</stp>
        <stp>502</stp>
        <tr r="AK39" s="1"/>
      </tp>
      <tp t="s">
        <v>84</v>
        <stp/>
        <stp>127.0.0.1</stp>
        <stp>1</stp>
        <stp>N</stp>
        <stp>40054</stp>
        <stp>1</stp>
        <stp>PerDevice</stp>
        <stp>502</stp>
        <tr r="AK38" s="1"/>
      </tp>
      <tp t="s">
        <v>84</v>
        <stp/>
        <stp>127.0.0.1</stp>
        <stp>1</stp>
        <stp>N</stp>
        <stp>40049</stp>
        <stp>1</stp>
        <stp>PerDevice</stp>
        <stp>502</stp>
        <tr r="AK33" s="1"/>
      </tp>
      <tp t="s">
        <v>84</v>
        <stp/>
        <stp>127.0.0.1</stp>
        <stp>1</stp>
        <stp>N</stp>
        <stp>40048</stp>
        <stp>1</stp>
        <stp>PerDevice</stp>
        <stp>502</stp>
        <tr r="AK32" s="1"/>
      </tp>
      <tp t="s">
        <v>60</v>
        <stp/>
        <stp>127.0.0.1</stp>
        <stp>1</stp>
        <stp>N</stp>
        <stp>40043</stp>
        <stp>1</stp>
        <stp>PerDevice</stp>
        <stp>502</stp>
        <tr r="AK27" s="1"/>
      </tp>
      <tp t="s">
        <v>84</v>
        <stp/>
        <stp>127.0.0.1</stp>
        <stp>1</stp>
        <stp>N</stp>
        <stp>40042</stp>
        <stp>1</stp>
        <stp>PerDevice</stp>
        <stp>502</stp>
        <tr r="AK26" s="1"/>
      </tp>
      <tp t="s">
        <v>60</v>
        <stp/>
        <stp>127.0.0.1</stp>
        <stp>1</stp>
        <stp>N</stp>
        <stp>40041</stp>
        <stp>1</stp>
        <stp>PerDevice</stp>
        <stp>502</stp>
        <tr r="AK25" s="1"/>
      </tp>
      <tp t="s">
        <v>60</v>
        <stp/>
        <stp>127.0.0.1</stp>
        <stp>1</stp>
        <stp>N</stp>
        <stp>40040</stp>
        <stp>1</stp>
        <stp>PerDevice</stp>
        <stp>502</stp>
        <tr r="AK24" s="1"/>
      </tp>
      <tp t="s">
        <v>84</v>
        <stp/>
        <stp>127.0.0.1</stp>
        <stp>1</stp>
        <stp>N</stp>
        <stp>40047</stp>
        <stp>1</stp>
        <stp>PerDevice</stp>
        <stp>502</stp>
        <tr r="AK31" s="1"/>
      </tp>
      <tp t="s">
        <v>84</v>
        <stp/>
        <stp>127.0.0.1</stp>
        <stp>1</stp>
        <stp>N</stp>
        <stp>40046</stp>
        <stp>1</stp>
        <stp>PerDevice</stp>
        <stp>502</stp>
        <tr r="AK30" s="1"/>
      </tp>
      <tp t="s">
        <v>84</v>
        <stp/>
        <stp>127.0.0.1</stp>
        <stp>1</stp>
        <stp>N</stp>
        <stp>40045</stp>
        <stp>1</stp>
        <stp>PerDevice</stp>
        <stp>502</stp>
        <tr r="AK29" s="1"/>
      </tp>
      <tp t="s">
        <v>84</v>
        <stp/>
        <stp>127.0.0.1</stp>
        <stp>1</stp>
        <stp>N</stp>
        <stp>40044</stp>
        <stp>1</stp>
        <stp>PerDevice</stp>
        <stp>502</stp>
        <tr r="AK28" s="1"/>
      </tp>
      <tp t="s">
        <v>84</v>
        <stp/>
        <stp>127.0.0.1</stp>
        <stp>1</stp>
        <stp>N</stp>
        <stp>40039</stp>
        <stp>1</stp>
        <stp>PerDevice</stp>
        <stp>502</stp>
        <tr r="AK23" s="1"/>
      </tp>
      <tp t="s">
        <v>84</v>
        <stp/>
        <stp>127.0.0.1</stp>
        <stp>1</stp>
        <stp>N</stp>
        <stp>40038</stp>
        <stp>1</stp>
        <stp>PerDevice</stp>
        <stp>502</stp>
        <tr r="AK22" s="1"/>
      </tp>
      <tp t="s">
        <v>84</v>
        <stp/>
        <stp>127.0.0.1</stp>
        <stp>1</stp>
        <stp>N</stp>
        <stp>40033</stp>
        <stp>1</stp>
        <stp>PerDevice</stp>
        <stp>502</stp>
        <tr r="AK17" s="1"/>
      </tp>
      <tp t="s">
        <v>84</v>
        <stp/>
        <stp>127.0.0.1</stp>
        <stp>1</stp>
        <stp>N</stp>
        <stp>40031</stp>
        <stp>1</stp>
        <stp>PerDevice</stp>
        <stp>502</stp>
        <tr r="AJ47" s="1"/>
      </tp>
      <tp t="s">
        <v>84</v>
        <stp/>
        <stp>127.0.0.1</stp>
        <stp>1</stp>
        <stp>N</stp>
        <stp>40030</stp>
        <stp>1</stp>
        <stp>PerDevice</stp>
        <stp>502</stp>
        <tr r="AJ46" s="1"/>
      </tp>
      <tp t="s">
        <v>84</v>
        <stp/>
        <stp>127.0.0.1</stp>
        <stp>1</stp>
        <stp>N</stp>
        <stp>40037</stp>
        <stp>1</stp>
        <stp>PerDevice</stp>
        <stp>502</stp>
        <tr r="AK21" s="1"/>
      </tp>
      <tp t="s">
        <v>84</v>
        <stp/>
        <stp>127.0.0.1</stp>
        <stp>1</stp>
        <stp>N</stp>
        <stp>40036</stp>
        <stp>1</stp>
        <stp>PerDevice</stp>
        <stp>502</stp>
        <tr r="AK20" s="1"/>
      </tp>
      <tp t="s">
        <v>84</v>
        <stp/>
        <stp>127.0.0.1</stp>
        <stp>1</stp>
        <stp>N</stp>
        <stp>40035</stp>
        <stp>1</stp>
        <stp>PerDevice</stp>
        <stp>502</stp>
        <tr r="AK19" s="1"/>
      </tp>
      <tp t="s">
        <v>84</v>
        <stp/>
        <stp>127.0.0.1</stp>
        <stp>1</stp>
        <stp>N</stp>
        <stp>40034</stp>
        <stp>1</stp>
        <stp>PerDevice</stp>
        <stp>502</stp>
        <tr r="AK18" s="1"/>
      </tp>
      <tp t="s">
        <v>60</v>
        <stp/>
        <stp>127.0.0.1</stp>
        <stp>1</stp>
        <stp>N</stp>
        <stp>40029</stp>
        <stp>1</stp>
        <stp>PerDevice</stp>
        <stp>502</stp>
        <tr r="AJ45" s="1"/>
      </tp>
      <tp t="s">
        <v>75</v>
        <stp/>
        <stp>127.0.0.1</stp>
        <stp>1</stp>
        <stp>N</stp>
        <stp>40028</stp>
        <stp>1</stp>
        <stp>PerDevice</stp>
        <stp>502</stp>
        <tr r="AJ44" s="1"/>
      </tp>
      <tp t="s">
        <v>87</v>
        <stp/>
        <stp>127.0.0.1</stp>
        <stp>1</stp>
        <stp>N</stp>
        <stp>40023</stp>
        <stp>1</stp>
        <stp>PerDevice</stp>
        <stp>502</stp>
        <tr r="AJ39" s="1"/>
      </tp>
      <tp t="s">
        <v>87</v>
        <stp/>
        <stp>127.0.0.1</stp>
        <stp>1</stp>
        <stp>N</stp>
        <stp>40022</stp>
        <stp>1</stp>
        <stp>PerDevice</stp>
        <stp>502</stp>
        <tr r="AJ38" s="1"/>
      </tp>
      <tp t="s">
        <v>87</v>
        <stp/>
        <stp>127.0.0.1</stp>
        <stp>1</stp>
        <stp>N</stp>
        <stp>40021</stp>
        <stp>1</stp>
        <stp>PerDevice</stp>
        <stp>502</stp>
        <tr r="AJ37" s="1"/>
      </tp>
      <tp t="s">
        <v>87</v>
        <stp/>
        <stp>127.0.0.1</stp>
        <stp>1</stp>
        <stp>N</stp>
        <stp>40020</stp>
        <stp>1</stp>
        <stp>PerDevice</stp>
        <stp>502</stp>
        <tr r="AJ36" s="1"/>
      </tp>
      <tp t="s">
        <v>60</v>
        <stp/>
        <stp>127.0.0.1</stp>
        <stp>1</stp>
        <stp>N</stp>
        <stp>40027</stp>
        <stp>1</stp>
        <stp>PerDevice</stp>
        <stp>502</stp>
        <tr r="AJ43" s="1"/>
      </tp>
      <tp t="s">
        <v>60</v>
        <stp/>
        <stp>127.0.0.1</stp>
        <stp>1</stp>
        <stp>N</stp>
        <stp>40026</stp>
        <stp>1</stp>
        <stp>PerDevice</stp>
        <stp>502</stp>
        <tr r="AJ42" s="1"/>
      </tp>
      <tp t="s">
        <v>87</v>
        <stp/>
        <stp>127.0.0.1</stp>
        <stp>1</stp>
        <stp>N</stp>
        <stp>40025</stp>
        <stp>1</stp>
        <stp>PerDevice</stp>
        <stp>502</stp>
        <tr r="AJ41" s="1"/>
      </tp>
      <tp t="s">
        <v>87</v>
        <stp/>
        <stp>127.0.0.1</stp>
        <stp>1</stp>
        <stp>N</stp>
        <stp>40024</stp>
        <stp>1</stp>
        <stp>PerDevice</stp>
        <stp>502</stp>
        <tr r="AJ40" s="1"/>
      </tp>
      <tp t="s">
        <v>84</v>
        <stp/>
        <stp>127.0.0.1</stp>
        <stp>1</stp>
        <stp>N</stp>
        <stp>40019</stp>
        <stp>1</stp>
        <stp>PerDevice</stp>
        <stp>502</stp>
        <tr r="AJ35" s="1"/>
      </tp>
      <tp t="s">
        <v>84</v>
        <stp/>
        <stp>127.0.0.1</stp>
        <stp>1</stp>
        <stp>N</stp>
        <stp>40018</stp>
        <stp>1</stp>
        <stp>PerDevice</stp>
        <stp>502</stp>
        <tr r="AJ34" s="1"/>
      </tp>
      <tp t="s">
        <v>87</v>
        <stp/>
        <stp>127.0.0.1</stp>
        <stp>1</stp>
        <stp>N</stp>
        <stp>40013</stp>
        <stp>1</stp>
        <stp>PerDevice</stp>
        <stp>502</stp>
        <tr r="AJ29" s="1"/>
      </tp>
      <tp t="s">
        <v>60</v>
        <stp/>
        <stp>127.0.0.1</stp>
        <stp>1</stp>
        <stp>N</stp>
        <stp>40012</stp>
        <stp>1</stp>
        <stp>PerDevice</stp>
        <stp>502</stp>
        <tr r="AJ28" s="1"/>
      </tp>
      <tp t="s">
        <v>87</v>
        <stp/>
        <stp>127.0.0.1</stp>
        <stp>1</stp>
        <stp>N</stp>
        <stp>40011</stp>
        <stp>1</stp>
        <stp>PerDevice</stp>
        <stp>502</stp>
        <tr r="AJ27" s="1"/>
      </tp>
      <tp t="s">
        <v>87</v>
        <stp/>
        <stp>127.0.0.1</stp>
        <stp>1</stp>
        <stp>N</stp>
        <stp>40010</stp>
        <stp>1</stp>
        <stp>PerDevice</stp>
        <stp>502</stp>
        <tr r="AJ26" s="1"/>
      </tp>
      <tp t="s">
        <v>84</v>
        <stp/>
        <stp>127.0.0.1</stp>
        <stp>1</stp>
        <stp>N</stp>
        <stp>40017</stp>
        <stp>1</stp>
        <stp>PerDevice</stp>
        <stp>502</stp>
        <tr r="AJ33" s="1"/>
      </tp>
      <tp t="s">
        <v>84</v>
        <stp/>
        <stp>127.0.0.1</stp>
        <stp>1</stp>
        <stp>N</stp>
        <stp>40016</stp>
        <stp>1</stp>
        <stp>PerDevice</stp>
        <stp>502</stp>
        <tr r="AJ32" s="1"/>
      </tp>
      <tp t="s">
        <v>60</v>
        <stp/>
        <stp>127.0.0.1</stp>
        <stp>1</stp>
        <stp>N</stp>
        <stp>40015</stp>
        <stp>1</stp>
        <stp>PerDevice</stp>
        <stp>502</stp>
        <tr r="AJ31" s="1"/>
      </tp>
      <tp t="s">
        <v>60</v>
        <stp/>
        <stp>127.0.0.1</stp>
        <stp>1</stp>
        <stp>N</stp>
        <stp>40014</stp>
        <stp>1</stp>
        <stp>PerDevice</stp>
        <stp>502</stp>
        <tr r="AJ30" s="1"/>
      </tp>
      <tp t="s">
        <v>84</v>
        <stp/>
        <stp>127.0.0.1</stp>
        <stp>1</stp>
        <stp>N</stp>
        <stp>40009</stp>
        <stp>1</stp>
        <stp>PerDevice</stp>
        <stp>502</stp>
        <tr r="AJ25" s="1"/>
      </tp>
      <tp t="s">
        <v>87</v>
        <stp/>
        <stp>127.0.0.1</stp>
        <stp>1</stp>
        <stp>N</stp>
        <stp>40008</stp>
        <stp>1</stp>
        <stp>PerDevice</stp>
        <stp>502</stp>
        <tr r="AJ24" s="1"/>
      </tp>
      <tp t="s">
        <v>84</v>
        <stp/>
        <stp>127.0.0.1</stp>
        <stp>1</stp>
        <stp>N</stp>
        <stp>40003</stp>
        <stp>1</stp>
        <stp>PerDevice</stp>
        <stp>502</stp>
        <tr r="AJ19" s="1"/>
      </tp>
      <tp t="s">
        <v>84</v>
        <stp/>
        <stp>127.0.0.1</stp>
        <stp>1</stp>
        <stp>N</stp>
        <stp>40002</stp>
        <stp>1</stp>
        <stp>PerDevice</stp>
        <stp>502</stp>
        <tr r="AJ18" s="1"/>
      </tp>
      <tp t="s">
        <v>84</v>
        <stp/>
        <stp>127.0.0.1</stp>
        <stp>1</stp>
        <stp>N</stp>
        <stp>40001</stp>
        <stp>1</stp>
        <stp>PerDevice</stp>
        <stp>502</stp>
        <tr r="AJ17" s="1"/>
      </tp>
      <tp t="s">
        <v>84</v>
        <stp/>
        <stp>127.0.0.1</stp>
        <stp>1</stp>
        <stp>N</stp>
        <stp>40007</stp>
        <stp>1</stp>
        <stp>PerDevice</stp>
        <stp>502</stp>
        <tr r="AJ23" s="1"/>
      </tp>
      <tp t="s">
        <v>84</v>
        <stp/>
        <stp>127.0.0.1</stp>
        <stp>1</stp>
        <stp>N</stp>
        <stp>40006</stp>
        <stp>1</stp>
        <stp>PerDevice</stp>
        <stp>502</stp>
        <tr r="AJ22" s="1"/>
      </tp>
      <tp t="s">
        <v>84</v>
        <stp/>
        <stp>127.0.0.1</stp>
        <stp>1</stp>
        <stp>N</stp>
        <stp>40005</stp>
        <stp>1</stp>
        <stp>PerDevice</stp>
        <stp>502</stp>
        <tr r="AJ21" s="1"/>
      </tp>
      <tp t="s">
        <v>84</v>
        <stp/>
        <stp>127.0.0.1</stp>
        <stp>1</stp>
        <stp>N</stp>
        <stp>40004</stp>
        <stp>1</stp>
        <stp>PerDevice</stp>
        <stp>502</stp>
        <tr r="AJ20" s="1"/>
      </tp>
      <tp t="s">
        <v>60</v>
        <stp/>
        <stp>127.0.0.1</stp>
        <stp>1</stp>
        <stp>N</stp>
        <stp>40199</stp>
        <stp>1</stp>
        <stp>PerDevice</stp>
        <stp>502</stp>
        <tr r="AP23" s="1"/>
      </tp>
      <tp t="s">
        <v>60</v>
        <stp/>
        <stp>127.0.0.1</stp>
        <stp>1</stp>
        <stp>N</stp>
        <stp>40198</stp>
        <stp>1</stp>
        <stp>PerDevice</stp>
        <stp>502</stp>
        <tr r="AP22" s="1"/>
      </tp>
      <tp t="s">
        <v>87</v>
        <stp/>
        <stp>127.0.0.1</stp>
        <stp>1</stp>
        <stp>N</stp>
        <stp>40193</stp>
        <stp>1</stp>
        <stp>PerDevice</stp>
        <stp>502</stp>
        <tr r="AP17" s="1"/>
      </tp>
      <tp t="s">
        <v>87</v>
        <stp/>
        <stp>127.0.0.1</stp>
        <stp>1</stp>
        <stp>N</stp>
        <stp>40191</stp>
        <stp>1</stp>
        <stp>PerDevice</stp>
        <stp>502</stp>
        <tr r="AO47" s="1"/>
      </tp>
      <tp t="s">
        <v>87</v>
        <stp/>
        <stp>127.0.0.1</stp>
        <stp>1</stp>
        <stp>N</stp>
        <stp>40190</stp>
        <stp>1</stp>
        <stp>PerDevice</stp>
        <stp>502</stp>
        <tr r="AO46" s="1"/>
      </tp>
      <tp t="s">
        <v>60</v>
        <stp/>
        <stp>127.0.0.1</stp>
        <stp>1</stp>
        <stp>N</stp>
        <stp>40197</stp>
        <stp>1</stp>
        <stp>PerDevice</stp>
        <stp>502</stp>
        <tr r="AP21" s="1"/>
      </tp>
      <tp t="s">
        <v>60</v>
        <stp/>
        <stp>127.0.0.1</stp>
        <stp>1</stp>
        <stp>N</stp>
        <stp>40196</stp>
        <stp>1</stp>
        <stp>PerDevice</stp>
        <stp>502</stp>
        <tr r="AP20" s="1"/>
      </tp>
      <tp t="s">
        <v>87</v>
        <stp/>
        <stp>127.0.0.1</stp>
        <stp>1</stp>
        <stp>N</stp>
        <stp>40195</stp>
        <stp>1</stp>
        <stp>PerDevice</stp>
        <stp>502</stp>
        <tr r="AP19" s="1"/>
      </tp>
      <tp t="s">
        <v>87</v>
        <stp/>
        <stp>127.0.0.1</stp>
        <stp>1</stp>
        <stp>N</stp>
        <stp>40194</stp>
        <stp>1</stp>
        <stp>PerDevice</stp>
        <stp>502</stp>
        <tr r="AP18" s="1"/>
      </tp>
      <tp t="s">
        <v>84</v>
        <stp/>
        <stp>127.0.0.1</stp>
        <stp>1</stp>
        <stp>N</stp>
        <stp>40189</stp>
        <stp>1</stp>
        <stp>PerDevice</stp>
        <stp>502</stp>
        <tr r="AO45" s="1"/>
      </tp>
      <tp t="s">
        <v>84</v>
        <stp/>
        <stp>127.0.0.1</stp>
        <stp>1</stp>
        <stp>N</stp>
        <stp>40188</stp>
        <stp>1</stp>
        <stp>PerDevice</stp>
        <stp>502</stp>
        <tr r="AO44" s="1"/>
      </tp>
      <tp t="s">
        <v>84</v>
        <stp/>
        <stp>127.0.0.1</stp>
        <stp>1</stp>
        <stp>N</stp>
        <stp>40183</stp>
        <stp>1</stp>
        <stp>PerDevice</stp>
        <stp>502</stp>
        <tr r="AO39" s="1"/>
      </tp>
      <tp t="s">
        <v>84</v>
        <stp/>
        <stp>127.0.0.1</stp>
        <stp>1</stp>
        <stp>N</stp>
        <stp>40182</stp>
        <stp>1</stp>
        <stp>PerDevice</stp>
        <stp>502</stp>
        <tr r="AO38" s="1"/>
      </tp>
      <tp t="s">
        <v>84</v>
        <stp/>
        <stp>127.0.0.1</stp>
        <stp>1</stp>
        <stp>N</stp>
        <stp>40181</stp>
        <stp>1</stp>
        <stp>PerDevice</stp>
        <stp>502</stp>
        <tr r="AO37" s="1"/>
      </tp>
      <tp t="s">
        <v>84</v>
        <stp/>
        <stp>127.0.0.1</stp>
        <stp>1</stp>
        <stp>N</stp>
        <stp>40180</stp>
        <stp>1</stp>
        <stp>PerDevice</stp>
        <stp>502</stp>
        <tr r="AO36" s="1"/>
      </tp>
      <tp t="s">
        <v>84</v>
        <stp/>
        <stp>127.0.0.1</stp>
        <stp>1</stp>
        <stp>N</stp>
        <stp>40187</stp>
        <stp>1</stp>
        <stp>PerDevice</stp>
        <stp>502</stp>
        <tr r="AO43" s="1"/>
      </tp>
      <tp t="s">
        <v>84</v>
        <stp/>
        <stp>127.0.0.1</stp>
        <stp>1</stp>
        <stp>N</stp>
        <stp>40186</stp>
        <stp>1</stp>
        <stp>PerDevice</stp>
        <stp>502</stp>
        <tr r="AO42" s="1"/>
      </tp>
      <tp t="s">
        <v>84</v>
        <stp/>
        <stp>127.0.0.1</stp>
        <stp>1</stp>
        <stp>N</stp>
        <stp>40185</stp>
        <stp>1</stp>
        <stp>PerDevice</stp>
        <stp>502</stp>
        <tr r="AO41" s="1"/>
      </tp>
      <tp t="s">
        <v>84</v>
        <stp/>
        <stp>127.0.0.1</stp>
        <stp>1</stp>
        <stp>N</stp>
        <stp>40184</stp>
        <stp>1</stp>
        <stp>PerDevice</stp>
        <stp>502</stp>
        <tr r="AO40" s="1"/>
      </tp>
      <tp t="s">
        <v>87</v>
        <stp/>
        <stp>127.0.0.1</stp>
        <stp>1</stp>
        <stp>N</stp>
        <stp>40179</stp>
        <stp>1</stp>
        <stp>PerDevice</stp>
        <stp>502</stp>
        <tr r="AO35" s="1"/>
      </tp>
      <tp t="s">
        <v>87</v>
        <stp/>
        <stp>127.0.0.1</stp>
        <stp>1</stp>
        <stp>N</stp>
        <stp>40178</stp>
        <stp>1</stp>
        <stp>PerDevice</stp>
        <stp>502</stp>
        <tr r="AO34" s="1"/>
      </tp>
      <tp t="s">
        <v>84</v>
        <stp/>
        <stp>127.0.0.1</stp>
        <stp>1</stp>
        <stp>N</stp>
        <stp>40173</stp>
        <stp>1</stp>
        <stp>PerDevice</stp>
        <stp>502</stp>
        <tr r="AO29" s="1"/>
      </tp>
      <tp t="s">
        <v>84</v>
        <stp/>
        <stp>127.0.0.1</stp>
        <stp>1</stp>
        <stp>N</stp>
        <stp>40172</stp>
        <stp>1</stp>
        <stp>PerDevice</stp>
        <stp>502</stp>
        <tr r="AO28" s="1"/>
      </tp>
      <tp t="s">
        <v>84</v>
        <stp/>
        <stp>127.0.0.1</stp>
        <stp>1</stp>
        <stp>N</stp>
        <stp>40171</stp>
        <stp>1</stp>
        <stp>PerDevice</stp>
        <stp>502</stp>
        <tr r="AO27" s="1"/>
      </tp>
      <tp t="s">
        <v>84</v>
        <stp/>
        <stp>127.0.0.1</stp>
        <stp>1</stp>
        <stp>N</stp>
        <stp>40170</stp>
        <stp>1</stp>
        <stp>PerDevice</stp>
        <stp>502</stp>
        <tr r="AO26" s="1"/>
      </tp>
      <tp t="s">
        <v>87</v>
        <stp/>
        <stp>127.0.0.1</stp>
        <stp>1</stp>
        <stp>N</stp>
        <stp>40177</stp>
        <stp>1</stp>
        <stp>PerDevice</stp>
        <stp>502</stp>
        <tr r="AO33" s="1"/>
      </tp>
      <tp t="s">
        <v>87</v>
        <stp/>
        <stp>127.0.0.1</stp>
        <stp>1</stp>
        <stp>N</stp>
        <stp>40176</stp>
        <stp>1</stp>
        <stp>PerDevice</stp>
        <stp>502</stp>
        <tr r="AO32" s="1"/>
      </tp>
      <tp t="s">
        <v>84</v>
        <stp/>
        <stp>127.0.0.1</stp>
        <stp>1</stp>
        <stp>N</stp>
        <stp>40175</stp>
        <stp>1</stp>
        <stp>PerDevice</stp>
        <stp>502</stp>
        <tr r="AO31" s="1"/>
      </tp>
      <tp t="s">
        <v>84</v>
        <stp/>
        <stp>127.0.0.1</stp>
        <stp>1</stp>
        <stp>N</stp>
        <stp>40174</stp>
        <stp>1</stp>
        <stp>PerDevice</stp>
        <stp>502</stp>
        <tr r="AO30" s="1"/>
      </tp>
      <tp t="s">
        <v>84</v>
        <stp/>
        <stp>127.0.0.1</stp>
        <stp>1</stp>
        <stp>N</stp>
        <stp>40169</stp>
        <stp>1</stp>
        <stp>PerDevice</stp>
        <stp>502</stp>
        <tr r="AO25" s="1"/>
      </tp>
      <tp t="s">
        <v>84</v>
        <stp/>
        <stp>127.0.0.1</stp>
        <stp>1</stp>
        <stp>N</stp>
        <stp>40168</stp>
        <stp>1</stp>
        <stp>PerDevice</stp>
        <stp>502</stp>
        <tr r="AO24" s="1"/>
      </tp>
      <tp t="s">
        <v>84</v>
        <stp/>
        <stp>127.0.0.1</stp>
        <stp>1</stp>
        <stp>N</stp>
        <stp>40163</stp>
        <stp>1</stp>
        <stp>PerDevice</stp>
        <stp>502</stp>
        <tr r="AO19" s="1"/>
      </tp>
      <tp t="s">
        <v>84</v>
        <stp/>
        <stp>127.0.0.1</stp>
        <stp>1</stp>
        <stp>N</stp>
        <stp>40162</stp>
        <stp>1</stp>
        <stp>PerDevice</stp>
        <stp>502</stp>
        <tr r="AO18" s="1"/>
      </tp>
      <tp t="s">
        <v>84</v>
        <stp/>
        <stp>127.0.0.1</stp>
        <stp>1</stp>
        <stp>N</stp>
        <stp>40161</stp>
        <stp>1</stp>
        <stp>PerDevice</stp>
        <stp>502</stp>
        <tr r="AO17" s="1"/>
      </tp>
      <tp t="s">
        <v>84</v>
        <stp/>
        <stp>127.0.0.1</stp>
        <stp>1</stp>
        <stp>N</stp>
        <stp>40167</stp>
        <stp>1</stp>
        <stp>PerDevice</stp>
        <stp>502</stp>
        <tr r="AO23" s="1"/>
      </tp>
      <tp t="s">
        <v>84</v>
        <stp/>
        <stp>127.0.0.1</stp>
        <stp>1</stp>
        <stp>N</stp>
        <stp>40166</stp>
        <stp>1</stp>
        <stp>PerDevice</stp>
        <stp>502</stp>
        <tr r="AO22" s="1"/>
      </tp>
      <tp t="s">
        <v>84</v>
        <stp/>
        <stp>127.0.0.1</stp>
        <stp>1</stp>
        <stp>N</stp>
        <stp>40165</stp>
        <stp>1</stp>
        <stp>PerDevice</stp>
        <stp>502</stp>
        <tr r="AO21" s="1"/>
      </tp>
      <tp t="s">
        <v>84</v>
        <stp/>
        <stp>127.0.0.1</stp>
        <stp>1</stp>
        <stp>N</stp>
        <stp>40164</stp>
        <stp>1</stp>
        <stp>PerDevice</stp>
        <stp>502</stp>
        <tr r="AO20" s="1"/>
      </tp>
      <tp t="s">
        <v>84</v>
        <stp/>
        <stp>127.0.0.1</stp>
        <stp>1</stp>
        <stp>N</stp>
        <stp>40159</stp>
        <stp>1</stp>
        <stp>PerDevice</stp>
        <stp>502</stp>
        <tr r="AN47" s="1"/>
      </tp>
      <tp t="s">
        <v>84</v>
        <stp/>
        <stp>127.0.0.1</stp>
        <stp>1</stp>
        <stp>N</stp>
        <stp>40158</stp>
        <stp>1</stp>
        <stp>PerDevice</stp>
        <stp>502</stp>
        <tr r="AN46" s="1"/>
      </tp>
      <tp t="s">
        <v>84</v>
        <stp/>
        <stp>127.0.0.1</stp>
        <stp>1</stp>
        <stp>N</stp>
        <stp>40153</stp>
        <stp>1</stp>
        <stp>PerDevice</stp>
        <stp>502</stp>
        <tr r="AN41" s="1"/>
      </tp>
      <tp t="s">
        <v>84</v>
        <stp/>
        <stp>127.0.0.1</stp>
        <stp>1</stp>
        <stp>N</stp>
        <stp>40152</stp>
        <stp>1</stp>
        <stp>PerDevice</stp>
        <stp>502</stp>
        <tr r="AN40" s="1"/>
      </tp>
      <tp t="s">
        <v>84</v>
        <stp/>
        <stp>127.0.0.1</stp>
        <stp>1</stp>
        <stp>N</stp>
        <stp>40151</stp>
        <stp>1</stp>
        <stp>PerDevice</stp>
        <stp>502</stp>
        <tr r="AN39" s="1"/>
      </tp>
      <tp t="s">
        <v>84</v>
        <stp/>
        <stp>127.0.0.1</stp>
        <stp>1</stp>
        <stp>N</stp>
        <stp>40150</stp>
        <stp>1</stp>
        <stp>PerDevice</stp>
        <stp>502</stp>
        <tr r="AN38" s="1"/>
      </tp>
      <tp t="s">
        <v>84</v>
        <stp/>
        <stp>127.0.0.1</stp>
        <stp>1</stp>
        <stp>N</stp>
        <stp>40157</stp>
        <stp>1</stp>
        <stp>PerDevice</stp>
        <stp>502</stp>
        <tr r="AN45" s="1"/>
      </tp>
      <tp t="s">
        <v>84</v>
        <stp/>
        <stp>127.0.0.1</stp>
        <stp>1</stp>
        <stp>N</stp>
        <stp>40156</stp>
        <stp>1</stp>
        <stp>PerDevice</stp>
        <stp>502</stp>
        <tr r="AN44" s="1"/>
      </tp>
      <tp t="s">
        <v>84</v>
        <stp/>
        <stp>127.0.0.1</stp>
        <stp>1</stp>
        <stp>N</stp>
        <stp>40155</stp>
        <stp>1</stp>
        <stp>PerDevice</stp>
        <stp>502</stp>
        <tr r="AN43" s="1"/>
      </tp>
      <tp t="s">
        <v>84</v>
        <stp/>
        <stp>127.0.0.1</stp>
        <stp>1</stp>
        <stp>N</stp>
        <stp>40154</stp>
        <stp>1</stp>
        <stp>PerDevice</stp>
        <stp>502</stp>
        <tr r="AN42" s="1"/>
      </tp>
      <tp t="s">
        <v>84</v>
        <stp/>
        <stp>127.0.0.1</stp>
        <stp>1</stp>
        <stp>N</stp>
        <stp>40149</stp>
        <stp>1</stp>
        <stp>PerDevice</stp>
        <stp>502</stp>
        <tr r="AN37" s="1"/>
      </tp>
      <tp t="s">
        <v>84</v>
        <stp/>
        <stp>127.0.0.1</stp>
        <stp>1</stp>
        <stp>N</stp>
        <stp>40148</stp>
        <stp>1</stp>
        <stp>PerDevice</stp>
        <stp>502</stp>
        <tr r="AN36" s="1"/>
      </tp>
      <tp t="s">
        <v>60</v>
        <stp/>
        <stp>127.0.0.1</stp>
        <stp>1</stp>
        <stp>N</stp>
        <stp>40143</stp>
        <stp>1</stp>
        <stp>PerDevice</stp>
        <stp>502</stp>
        <tr r="AN31" s="1"/>
      </tp>
      <tp t="s">
        <v>84</v>
        <stp/>
        <stp>127.0.0.1</stp>
        <stp>1</stp>
        <stp>N</stp>
        <stp>40142</stp>
        <stp>1</stp>
        <stp>PerDevice</stp>
        <stp>502</stp>
        <tr r="AN30" s="1"/>
      </tp>
      <tp t="s">
        <v>60</v>
        <stp/>
        <stp>127.0.0.1</stp>
        <stp>1</stp>
        <stp>N</stp>
        <stp>40141</stp>
        <stp>1</stp>
        <stp>PerDevice</stp>
        <stp>502</stp>
        <tr r="AN29" s="1"/>
      </tp>
      <tp t="s">
        <v>60</v>
        <stp/>
        <stp>127.0.0.1</stp>
        <stp>1</stp>
        <stp>N</stp>
        <stp>40140</stp>
        <stp>1</stp>
        <stp>PerDevice</stp>
        <stp>502</stp>
        <tr r="AN28" s="1"/>
      </tp>
      <tp t="s">
        <v>84</v>
        <stp/>
        <stp>127.0.0.1</stp>
        <stp>1</stp>
        <stp>N</stp>
        <stp>40147</stp>
        <stp>1</stp>
        <stp>PerDevice</stp>
        <stp>502</stp>
        <tr r="AN35" s="1"/>
      </tp>
      <tp t="s">
        <v>84</v>
        <stp/>
        <stp>127.0.0.1</stp>
        <stp>1</stp>
        <stp>N</stp>
        <stp>40146</stp>
        <stp>1</stp>
        <stp>PerDevice</stp>
        <stp>502</stp>
        <tr r="AN34" s="1"/>
      </tp>
      <tp t="s">
        <v>84</v>
        <stp/>
        <stp>127.0.0.1</stp>
        <stp>1</stp>
        <stp>N</stp>
        <stp>40145</stp>
        <stp>1</stp>
        <stp>PerDevice</stp>
        <stp>502</stp>
        <tr r="AN33" s="1"/>
      </tp>
      <tp t="s">
        <v>84</v>
        <stp/>
        <stp>127.0.0.1</stp>
        <stp>1</stp>
        <stp>N</stp>
        <stp>40144</stp>
        <stp>1</stp>
        <stp>PerDevice</stp>
        <stp>502</stp>
        <tr r="AN32" s="1"/>
      </tp>
      <tp t="s">
        <v>84</v>
        <stp/>
        <stp>127.0.0.1</stp>
        <stp>1</stp>
        <stp>N</stp>
        <stp>40139</stp>
        <stp>1</stp>
        <stp>PerDevice</stp>
        <stp>502</stp>
        <tr r="AN27" s="1"/>
      </tp>
      <tp t="s">
        <v>84</v>
        <stp/>
        <stp>127.0.0.1</stp>
        <stp>1</stp>
        <stp>N</stp>
        <stp>40138</stp>
        <stp>1</stp>
        <stp>PerDevice</stp>
        <stp>502</stp>
        <tr r="AN26" s="1"/>
      </tp>
      <tp t="s">
        <v>84</v>
        <stp/>
        <stp>127.0.0.1</stp>
        <stp>1</stp>
        <stp>N</stp>
        <stp>40133</stp>
        <stp>1</stp>
        <stp>PerDevice</stp>
        <stp>502</stp>
        <tr r="AN21" s="1"/>
      </tp>
      <tp t="s">
        <v>84</v>
        <stp/>
        <stp>127.0.0.1</stp>
        <stp>1</stp>
        <stp>N</stp>
        <stp>40132</stp>
        <stp>1</stp>
        <stp>PerDevice</stp>
        <stp>502</stp>
        <tr r="AN20" s="1"/>
      </tp>
      <tp t="s">
        <v>84</v>
        <stp/>
        <stp>127.0.0.1</stp>
        <stp>1</stp>
        <stp>N</stp>
        <stp>40131</stp>
        <stp>1</stp>
        <stp>PerDevice</stp>
        <stp>502</stp>
        <tr r="AN19" s="1"/>
      </tp>
      <tp t="s">
        <v>84</v>
        <stp/>
        <stp>127.0.0.1</stp>
        <stp>1</stp>
        <stp>N</stp>
        <stp>40130</stp>
        <stp>1</stp>
        <stp>PerDevice</stp>
        <stp>502</stp>
        <tr r="AN18" s="1"/>
      </tp>
      <tp t="s">
        <v>84</v>
        <stp/>
        <stp>127.0.0.1</stp>
        <stp>1</stp>
        <stp>N</stp>
        <stp>40137</stp>
        <stp>1</stp>
        <stp>PerDevice</stp>
        <stp>502</stp>
        <tr r="AN25" s="1"/>
      </tp>
      <tp t="s">
        <v>84</v>
        <stp/>
        <stp>127.0.0.1</stp>
        <stp>1</stp>
        <stp>N</stp>
        <stp>40136</stp>
        <stp>1</stp>
        <stp>PerDevice</stp>
        <stp>502</stp>
        <tr r="AN24" s="1"/>
      </tp>
      <tp t="s">
        <v>84</v>
        <stp/>
        <stp>127.0.0.1</stp>
        <stp>1</stp>
        <stp>N</stp>
        <stp>40135</stp>
        <stp>1</stp>
        <stp>PerDevice</stp>
        <stp>502</stp>
        <tr r="AN23" s="1"/>
      </tp>
      <tp t="s">
        <v>84</v>
        <stp/>
        <stp>127.0.0.1</stp>
        <stp>1</stp>
        <stp>N</stp>
        <stp>40134</stp>
        <stp>1</stp>
        <stp>PerDevice</stp>
        <stp>502</stp>
        <tr r="AN22" s="1"/>
      </tp>
      <tp t="s">
        <v>60</v>
        <stp/>
        <stp>127.0.0.1</stp>
        <stp>1</stp>
        <stp>N</stp>
        <stp>40129</stp>
        <stp>1</stp>
        <stp>PerDevice</stp>
        <stp>502</stp>
        <tr r="AN17" s="1"/>
      </tp>
      <tp t="s">
        <v>87</v>
        <stp/>
        <stp>127.0.0.1</stp>
        <stp>1</stp>
        <stp>N</stp>
        <stp>40123</stp>
        <stp>1</stp>
        <stp>PerDevice</stp>
        <stp>502</stp>
        <tr r="AM43" s="1"/>
      </tp>
      <tp t="s">
        <v>87</v>
        <stp/>
        <stp>127.0.0.1</stp>
        <stp>1</stp>
        <stp>N</stp>
        <stp>40122</stp>
        <stp>1</stp>
        <stp>PerDevice</stp>
        <stp>502</stp>
        <tr r="AM42" s="1"/>
      </tp>
      <tp t="s">
        <v>87</v>
        <stp/>
        <stp>127.0.0.1</stp>
        <stp>1</stp>
        <stp>N</stp>
        <stp>40121</stp>
        <stp>1</stp>
        <stp>PerDevice</stp>
        <stp>502</stp>
        <tr r="AM41" s="1"/>
      </tp>
      <tp t="s">
        <v>87</v>
        <stp/>
        <stp>127.0.0.1</stp>
        <stp>1</stp>
        <stp>N</stp>
        <stp>40120</stp>
        <stp>1</stp>
        <stp>PerDevice</stp>
        <stp>502</stp>
        <tr r="AM40" s="1"/>
      </tp>
      <tp t="s">
        <v>60</v>
        <stp/>
        <stp>127.0.0.1</stp>
        <stp>1</stp>
        <stp>N</stp>
        <stp>40127</stp>
        <stp>1</stp>
        <stp>PerDevice</stp>
        <stp>502</stp>
        <tr r="AM47" s="1"/>
      </tp>
      <tp t="s">
        <v>60</v>
        <stp/>
        <stp>127.0.0.1</stp>
        <stp>1</stp>
        <stp>N</stp>
        <stp>40126</stp>
        <stp>1</stp>
        <stp>PerDevice</stp>
        <stp>502</stp>
        <tr r="AM46" s="1"/>
      </tp>
      <tp t="s">
        <v>87</v>
        <stp/>
        <stp>127.0.0.1</stp>
        <stp>1</stp>
        <stp>N</stp>
        <stp>40125</stp>
        <stp>1</stp>
        <stp>PerDevice</stp>
        <stp>502</stp>
        <tr r="AM45" s="1"/>
      </tp>
      <tp t="s">
        <v>87</v>
        <stp/>
        <stp>127.0.0.1</stp>
        <stp>1</stp>
        <stp>N</stp>
        <stp>40124</stp>
        <stp>1</stp>
        <stp>PerDevice</stp>
        <stp>502</stp>
        <tr r="AM44" s="1"/>
      </tp>
      <tp t="s">
        <v>84</v>
        <stp/>
        <stp>127.0.0.1</stp>
        <stp>1</stp>
        <stp>N</stp>
        <stp>40119</stp>
        <stp>1</stp>
        <stp>PerDevice</stp>
        <stp>502</stp>
        <tr r="AM39" s="1"/>
      </tp>
      <tp t="s">
        <v>84</v>
        <stp/>
        <stp>127.0.0.1</stp>
        <stp>1</stp>
        <stp>N</stp>
        <stp>40118</stp>
        <stp>1</stp>
        <stp>PerDevice</stp>
        <stp>502</stp>
        <tr r="AM38" s="1"/>
      </tp>
      <tp t="s">
        <v>87</v>
        <stp/>
        <stp>127.0.0.1</stp>
        <stp>1</stp>
        <stp>N</stp>
        <stp>40113</stp>
        <stp>1</stp>
        <stp>PerDevice</stp>
        <stp>502</stp>
        <tr r="AM33" s="1"/>
      </tp>
      <tp t="s">
        <v>60</v>
        <stp/>
        <stp>127.0.0.1</stp>
        <stp>1</stp>
        <stp>N</stp>
        <stp>40112</stp>
        <stp>1</stp>
        <stp>PerDevice</stp>
        <stp>502</stp>
        <tr r="AM32" s="1"/>
      </tp>
      <tp t="s">
        <v>87</v>
        <stp/>
        <stp>127.0.0.1</stp>
        <stp>1</stp>
        <stp>N</stp>
        <stp>40111</stp>
        <stp>1</stp>
        <stp>PerDevice</stp>
        <stp>502</stp>
        <tr r="AM31" s="1"/>
      </tp>
      <tp t="s">
        <v>87</v>
        <stp/>
        <stp>127.0.0.1</stp>
        <stp>1</stp>
        <stp>N</stp>
        <stp>40110</stp>
        <stp>1</stp>
        <stp>PerDevice</stp>
        <stp>502</stp>
        <tr r="AM30" s="1"/>
      </tp>
      <tp t="s">
        <v>84</v>
        <stp/>
        <stp>127.0.0.1</stp>
        <stp>1</stp>
        <stp>N</stp>
        <stp>40117</stp>
        <stp>1</stp>
        <stp>PerDevice</stp>
        <stp>502</stp>
        <tr r="AM37" s="1"/>
      </tp>
      <tp t="s">
        <v>84</v>
        <stp/>
        <stp>127.0.0.1</stp>
        <stp>1</stp>
        <stp>N</stp>
        <stp>40116</stp>
        <stp>1</stp>
        <stp>PerDevice</stp>
        <stp>502</stp>
        <tr r="AM36" s="1"/>
      </tp>
      <tp t="s">
        <v>60</v>
        <stp/>
        <stp>127.0.0.1</stp>
        <stp>1</stp>
        <stp>N</stp>
        <stp>40115</stp>
        <stp>1</stp>
        <stp>PerDevice</stp>
        <stp>502</stp>
        <tr r="AM35" s="1"/>
      </tp>
      <tp t="s">
        <v>60</v>
        <stp/>
        <stp>127.0.0.1</stp>
        <stp>1</stp>
        <stp>N</stp>
        <stp>40114</stp>
        <stp>1</stp>
        <stp>PerDevice</stp>
        <stp>502</stp>
        <tr r="AM34" s="1"/>
      </tp>
      <tp t="s">
        <v>84</v>
        <stp/>
        <stp>127.0.0.1</stp>
        <stp>1</stp>
        <stp>N</stp>
        <stp>40109</stp>
        <stp>1</stp>
        <stp>PerDevice</stp>
        <stp>502</stp>
        <tr r="AM29" s="1"/>
      </tp>
      <tp t="s">
        <v>87</v>
        <stp/>
        <stp>127.0.0.1</stp>
        <stp>1</stp>
        <stp>N</stp>
        <stp>40108</stp>
        <stp>1</stp>
        <stp>PerDevice</stp>
        <stp>502</stp>
        <tr r="AM28" s="1"/>
      </tp>
      <tp t="s">
        <v>84</v>
        <stp/>
        <stp>127.0.0.1</stp>
        <stp>1</stp>
        <stp>N</stp>
        <stp>40103</stp>
        <stp>1</stp>
        <stp>PerDevice</stp>
        <stp>502</stp>
        <tr r="AM23" s="1"/>
      </tp>
      <tp t="s">
        <v>84</v>
        <stp/>
        <stp>127.0.0.1</stp>
        <stp>1</stp>
        <stp>N</stp>
        <stp>40102</stp>
        <stp>1</stp>
        <stp>PerDevice</stp>
        <stp>502</stp>
        <tr r="AM22" s="1"/>
      </tp>
      <tp t="s">
        <v>84</v>
        <stp/>
        <stp>127.0.0.1</stp>
        <stp>1</stp>
        <stp>N</stp>
        <stp>40101</stp>
        <stp>1</stp>
        <stp>PerDevice</stp>
        <stp>502</stp>
        <tr r="AM21" s="1"/>
      </tp>
      <tp t="s">
        <v>84</v>
        <stp/>
        <stp>127.0.0.1</stp>
        <stp>1</stp>
        <stp>N</stp>
        <stp>40100</stp>
        <stp>1</stp>
        <stp>PerDevice</stp>
        <stp>502</stp>
        <tr r="AM20" s="1"/>
      </tp>
      <tp t="s">
        <v>84</v>
        <stp/>
        <stp>127.0.0.1</stp>
        <stp>1</stp>
        <stp>N</stp>
        <stp>40107</stp>
        <stp>1</stp>
        <stp>PerDevice</stp>
        <stp>502</stp>
        <tr r="AM27" s="1"/>
      </tp>
      <tp t="s">
        <v>84</v>
        <stp/>
        <stp>127.0.0.1</stp>
        <stp>1</stp>
        <stp>N</stp>
        <stp>40106</stp>
        <stp>1</stp>
        <stp>PerDevice</stp>
        <stp>502</stp>
        <tr r="AM26" s="1"/>
      </tp>
      <tp t="s">
        <v>84</v>
        <stp/>
        <stp>127.0.0.1</stp>
        <stp>1</stp>
        <stp>N</stp>
        <stp>40105</stp>
        <stp>1</stp>
        <stp>PerDevice</stp>
        <stp>502</stp>
        <tr r="AM25" s="1"/>
      </tp>
      <tp t="s">
        <v>84</v>
        <stp/>
        <stp>127.0.0.1</stp>
        <stp>1</stp>
        <stp>N</stp>
        <stp>40104</stp>
        <stp>1</stp>
        <stp>PerDevice</stp>
        <stp>502</stp>
        <tr r="AM24" s="1"/>
      </tp>
      <tp t="s">
        <v>60</v>
        <stp/>
        <stp>127.0.0.1</stp>
        <stp>1</stp>
        <stp>N</stp>
        <stp>40299</stp>
        <stp>1</stp>
        <stp>PerDevice</stp>
        <stp>502</stp>
        <tr r="AS27" s="1"/>
      </tp>
      <tp t="s">
        <v>60</v>
        <stp/>
        <stp>127.0.0.1</stp>
        <stp>1</stp>
        <stp>N</stp>
        <stp>40298</stp>
        <stp>1</stp>
        <stp>PerDevice</stp>
        <stp>502</stp>
        <tr r="AS26" s="1"/>
      </tp>
      <tp t="s">
        <v>87</v>
        <stp/>
        <stp>127.0.0.1</stp>
        <stp>1</stp>
        <stp>N</stp>
        <stp>40293</stp>
        <stp>1</stp>
        <stp>PerDevice</stp>
        <stp>502</stp>
        <tr r="AS21" s="1"/>
      </tp>
      <tp t="s">
        <v>87</v>
        <stp/>
        <stp>127.0.0.1</stp>
        <stp>1</stp>
        <stp>N</stp>
        <stp>40292</stp>
        <stp>1</stp>
        <stp>PerDevice</stp>
        <stp>502</stp>
        <tr r="AS20" s="1"/>
      </tp>
      <tp t="s">
        <v>87</v>
        <stp/>
        <stp>127.0.0.1</stp>
        <stp>1</stp>
        <stp>N</stp>
        <stp>40291</stp>
        <stp>1</stp>
        <stp>PerDevice</stp>
        <stp>502</stp>
        <tr r="AS19" s="1"/>
      </tp>
      <tp t="s">
        <v>87</v>
        <stp/>
        <stp>127.0.0.1</stp>
        <stp>1</stp>
        <stp>N</stp>
        <stp>40290</stp>
        <stp>1</stp>
        <stp>PerDevice</stp>
        <stp>502</stp>
        <tr r="AS18" s="1"/>
      </tp>
      <tp t="s">
        <v>60</v>
        <stp/>
        <stp>127.0.0.1</stp>
        <stp>1</stp>
        <stp>N</stp>
        <stp>40297</stp>
        <stp>1</stp>
        <stp>PerDevice</stp>
        <stp>502</stp>
        <tr r="AS25" s="1"/>
      </tp>
      <tp t="s">
        <v>60</v>
        <stp/>
        <stp>127.0.0.1</stp>
        <stp>1</stp>
        <stp>N</stp>
        <stp>40296</stp>
        <stp>1</stp>
        <stp>PerDevice</stp>
        <stp>502</stp>
        <tr r="AS24" s="1"/>
      </tp>
      <tp t="s">
        <v>87</v>
        <stp/>
        <stp>127.0.0.1</stp>
        <stp>1</stp>
        <stp>N</stp>
        <stp>40295</stp>
        <stp>1</stp>
        <stp>PerDevice</stp>
        <stp>502</stp>
        <tr r="AS23" s="1"/>
      </tp>
      <tp t="s">
        <v>87</v>
        <stp/>
        <stp>127.0.0.1</stp>
        <stp>1</stp>
        <stp>N</stp>
        <stp>40294</stp>
        <stp>1</stp>
        <stp>PerDevice</stp>
        <stp>502</stp>
        <tr r="AS22" s="1"/>
      </tp>
      <tp t="s">
        <v>84</v>
        <stp/>
        <stp>127.0.0.1</stp>
        <stp>1</stp>
        <stp>N</stp>
        <stp>40289</stp>
        <stp>1</stp>
        <stp>PerDevice</stp>
        <stp>502</stp>
        <tr r="AS17" s="1"/>
      </tp>
      <tp t="s">
        <v>84</v>
        <stp/>
        <stp>127.0.0.1</stp>
        <stp>1</stp>
        <stp>N</stp>
        <stp>40283</stp>
        <stp>1</stp>
        <stp>PerDevice</stp>
        <stp>502</stp>
        <tr r="AR43" s="1"/>
      </tp>
      <tp t="s">
        <v>84</v>
        <stp/>
        <stp>127.0.0.1</stp>
        <stp>1</stp>
        <stp>N</stp>
        <stp>40282</stp>
        <stp>1</stp>
        <stp>PerDevice</stp>
        <stp>502</stp>
        <tr r="AR42" s="1"/>
      </tp>
      <tp t="s">
        <v>84</v>
        <stp/>
        <stp>127.0.0.1</stp>
        <stp>1</stp>
        <stp>N</stp>
        <stp>40281</stp>
        <stp>1</stp>
        <stp>PerDevice</stp>
        <stp>502</stp>
        <tr r="AR41" s="1"/>
      </tp>
      <tp t="s">
        <v>84</v>
        <stp/>
        <stp>127.0.0.1</stp>
        <stp>1</stp>
        <stp>N</stp>
        <stp>40280</stp>
        <stp>1</stp>
        <stp>PerDevice</stp>
        <stp>502</stp>
        <tr r="AR40" s="1"/>
      </tp>
      <tp t="s">
        <v>84</v>
        <stp/>
        <stp>127.0.0.1</stp>
        <stp>1</stp>
        <stp>N</stp>
        <stp>40287</stp>
        <stp>1</stp>
        <stp>PerDevice</stp>
        <stp>502</stp>
        <tr r="AR47" s="1"/>
      </tp>
      <tp t="s">
        <v>84</v>
        <stp/>
        <stp>127.0.0.1</stp>
        <stp>1</stp>
        <stp>N</stp>
        <stp>40286</stp>
        <stp>1</stp>
        <stp>PerDevice</stp>
        <stp>502</stp>
        <tr r="AR46" s="1"/>
      </tp>
      <tp t="s">
        <v>84</v>
        <stp/>
        <stp>127.0.0.1</stp>
        <stp>1</stp>
        <stp>N</stp>
        <stp>40285</stp>
        <stp>1</stp>
        <stp>PerDevice</stp>
        <stp>502</stp>
        <tr r="AR45" s="1"/>
      </tp>
      <tp t="s">
        <v>84</v>
        <stp/>
        <stp>127.0.0.1</stp>
        <stp>1</stp>
        <stp>N</stp>
        <stp>40284</stp>
        <stp>1</stp>
        <stp>PerDevice</stp>
        <stp>502</stp>
        <tr r="AR44" s="1"/>
      </tp>
      <tp t="s">
        <v>87</v>
        <stp/>
        <stp>127.0.0.1</stp>
        <stp>1</stp>
        <stp>N</stp>
        <stp>40279</stp>
        <stp>1</stp>
        <stp>PerDevice</stp>
        <stp>502</stp>
        <tr r="AR39" s="1"/>
      </tp>
      <tp t="s">
        <v>87</v>
        <stp/>
        <stp>127.0.0.1</stp>
        <stp>1</stp>
        <stp>N</stp>
        <stp>40278</stp>
        <stp>1</stp>
        <stp>PerDevice</stp>
        <stp>502</stp>
        <tr r="AR38" s="1"/>
      </tp>
      <tp t="s">
        <v>84</v>
        <stp/>
        <stp>127.0.0.1</stp>
        <stp>1</stp>
        <stp>N</stp>
        <stp>40273</stp>
        <stp>1</stp>
        <stp>PerDevice</stp>
        <stp>502</stp>
        <tr r="AR33" s="1"/>
      </tp>
      <tp t="s">
        <v>84</v>
        <stp/>
        <stp>127.0.0.1</stp>
        <stp>1</stp>
        <stp>N</stp>
        <stp>40272</stp>
        <stp>1</stp>
        <stp>PerDevice</stp>
        <stp>502</stp>
        <tr r="AR32" s="1"/>
      </tp>
      <tp t="s">
        <v>84</v>
        <stp/>
        <stp>127.0.0.1</stp>
        <stp>1</stp>
        <stp>N</stp>
        <stp>40271</stp>
        <stp>1</stp>
        <stp>PerDevice</stp>
        <stp>502</stp>
        <tr r="AR31" s="1"/>
      </tp>
      <tp t="s">
        <v>84</v>
        <stp/>
        <stp>127.0.0.1</stp>
        <stp>1</stp>
        <stp>N</stp>
        <stp>40270</stp>
        <stp>1</stp>
        <stp>PerDevice</stp>
        <stp>502</stp>
        <tr r="AR30" s="1"/>
      </tp>
      <tp t="s">
        <v>87</v>
        <stp/>
        <stp>127.0.0.1</stp>
        <stp>1</stp>
        <stp>N</stp>
        <stp>40277</stp>
        <stp>1</stp>
        <stp>PerDevice</stp>
        <stp>502</stp>
        <tr r="AR37" s="1"/>
      </tp>
      <tp t="s">
        <v>87</v>
        <stp/>
        <stp>127.0.0.1</stp>
        <stp>1</stp>
        <stp>N</stp>
        <stp>40276</stp>
        <stp>1</stp>
        <stp>PerDevice</stp>
        <stp>502</stp>
        <tr r="AR36" s="1"/>
      </tp>
      <tp t="s">
        <v>84</v>
        <stp/>
        <stp>127.0.0.1</stp>
        <stp>1</stp>
        <stp>N</stp>
        <stp>40275</stp>
        <stp>1</stp>
        <stp>PerDevice</stp>
        <stp>502</stp>
        <tr r="AR35" s="1"/>
      </tp>
      <tp t="s">
        <v>84</v>
        <stp/>
        <stp>127.0.0.1</stp>
        <stp>1</stp>
        <stp>N</stp>
        <stp>40274</stp>
        <stp>1</stp>
        <stp>PerDevice</stp>
        <stp>502</stp>
        <tr r="AR34" s="1"/>
      </tp>
      <tp t="s">
        <v>84</v>
        <stp/>
        <stp>127.0.0.1</stp>
        <stp>1</stp>
        <stp>N</stp>
        <stp>40269</stp>
        <stp>1</stp>
        <stp>PerDevice</stp>
        <stp>502</stp>
        <tr r="AR29" s="1"/>
      </tp>
      <tp t="s">
        <v>84</v>
        <stp/>
        <stp>127.0.0.1</stp>
        <stp>1</stp>
        <stp>N</stp>
        <stp>40268</stp>
        <stp>1</stp>
        <stp>PerDevice</stp>
        <stp>502</stp>
        <tr r="AR28" s="1"/>
      </tp>
      <tp t="s">
        <v>84</v>
        <stp/>
        <stp>127.0.0.1</stp>
        <stp>1</stp>
        <stp>N</stp>
        <stp>40263</stp>
        <stp>1</stp>
        <stp>PerDevice</stp>
        <stp>502</stp>
        <tr r="AR23" s="1"/>
      </tp>
      <tp t="s">
        <v>84</v>
        <stp/>
        <stp>127.0.0.1</stp>
        <stp>1</stp>
        <stp>N</stp>
        <stp>40262</stp>
        <stp>1</stp>
        <stp>PerDevice</stp>
        <stp>502</stp>
        <tr r="AR22" s="1"/>
      </tp>
      <tp t="s">
        <v>84</v>
        <stp/>
        <stp>127.0.0.1</stp>
        <stp>1</stp>
        <stp>N</stp>
        <stp>40261</stp>
        <stp>1</stp>
        <stp>PerDevice</stp>
        <stp>502</stp>
        <tr r="AR21" s="1"/>
      </tp>
      <tp t="s">
        <v>84</v>
        <stp/>
        <stp>127.0.0.1</stp>
        <stp>1</stp>
        <stp>N</stp>
        <stp>40260</stp>
        <stp>1</stp>
        <stp>PerDevice</stp>
        <stp>502</stp>
        <tr r="AR20" s="1"/>
      </tp>
      <tp t="s">
        <v>84</v>
        <stp/>
        <stp>127.0.0.1</stp>
        <stp>1</stp>
        <stp>N</stp>
        <stp>40267</stp>
        <stp>1</stp>
        <stp>PerDevice</stp>
        <stp>502</stp>
        <tr r="AR27" s="1"/>
      </tp>
      <tp t="s">
        <v>84</v>
        <stp/>
        <stp>127.0.0.1</stp>
        <stp>1</stp>
        <stp>N</stp>
        <stp>40266</stp>
        <stp>1</stp>
        <stp>PerDevice</stp>
        <stp>502</stp>
        <tr r="AR26" s="1"/>
      </tp>
      <tp t="s">
        <v>84</v>
        <stp/>
        <stp>127.0.0.1</stp>
        <stp>1</stp>
        <stp>N</stp>
        <stp>40265</stp>
        <stp>1</stp>
        <stp>PerDevice</stp>
        <stp>502</stp>
        <tr r="AR25" s="1"/>
      </tp>
      <tp t="s">
        <v>84</v>
        <stp/>
        <stp>127.0.0.1</stp>
        <stp>1</stp>
        <stp>N</stp>
        <stp>40264</stp>
        <stp>1</stp>
        <stp>PerDevice</stp>
        <stp>502</stp>
        <tr r="AR24" s="1"/>
      </tp>
      <tp t="s">
        <v>84</v>
        <stp/>
        <stp>127.0.0.1</stp>
        <stp>1</stp>
        <stp>N</stp>
        <stp>40259</stp>
        <stp>1</stp>
        <stp>PerDevice</stp>
        <stp>502</stp>
        <tr r="AR19" s="1"/>
      </tp>
      <tp t="s">
        <v>84</v>
        <stp/>
        <stp>127.0.0.1</stp>
        <stp>1</stp>
        <stp>N</stp>
        <stp>40258</stp>
        <stp>1</stp>
        <stp>PerDevice</stp>
        <stp>502</stp>
        <tr r="AR18" s="1"/>
      </tp>
      <tp t="s">
        <v>84</v>
        <stp/>
        <stp>127.0.0.1</stp>
        <stp>1</stp>
        <stp>N</stp>
        <stp>40253</stp>
        <stp>1</stp>
        <stp>PerDevice</stp>
        <stp>502</stp>
        <tr r="AQ45" s="1"/>
      </tp>
      <tp t="s">
        <v>84</v>
        <stp/>
        <stp>127.0.0.1</stp>
        <stp>1</stp>
        <stp>N</stp>
        <stp>40252</stp>
        <stp>1</stp>
        <stp>PerDevice</stp>
        <stp>502</stp>
        <tr r="AQ44" s="1"/>
      </tp>
      <tp t="s">
        <v>84</v>
        <stp/>
        <stp>127.0.0.1</stp>
        <stp>1</stp>
        <stp>N</stp>
        <stp>40251</stp>
        <stp>1</stp>
        <stp>PerDevice</stp>
        <stp>502</stp>
        <tr r="AQ43" s="1"/>
      </tp>
      <tp t="s">
        <v>84</v>
        <stp/>
        <stp>127.0.0.1</stp>
        <stp>1</stp>
        <stp>N</stp>
        <stp>40250</stp>
        <stp>1</stp>
        <stp>PerDevice</stp>
        <stp>502</stp>
        <tr r="AQ42" s="1"/>
      </tp>
      <tp t="s">
        <v>84</v>
        <stp/>
        <stp>127.0.0.1</stp>
        <stp>1</stp>
        <stp>N</stp>
        <stp>40257</stp>
        <stp>1</stp>
        <stp>PerDevice</stp>
        <stp>502</stp>
        <tr r="AR17" s="1"/>
      </tp>
      <tp t="s">
        <v>84</v>
        <stp/>
        <stp>127.0.0.1</stp>
        <stp>1</stp>
        <stp>N</stp>
        <stp>40255</stp>
        <stp>1</stp>
        <stp>PerDevice</stp>
        <stp>502</stp>
        <tr r="AQ47" s="1"/>
      </tp>
      <tp t="s">
        <v>84</v>
        <stp/>
        <stp>127.0.0.1</stp>
        <stp>1</stp>
        <stp>N</stp>
        <stp>40254</stp>
        <stp>1</stp>
        <stp>PerDevice</stp>
        <stp>502</stp>
        <tr r="AQ46" s="1"/>
      </tp>
      <tp t="s">
        <v>84</v>
        <stp/>
        <stp>127.0.0.1</stp>
        <stp>1</stp>
        <stp>N</stp>
        <stp>40249</stp>
        <stp>1</stp>
        <stp>PerDevice</stp>
        <stp>502</stp>
        <tr r="AQ41" s="1"/>
      </tp>
      <tp t="s">
        <v>84</v>
        <stp/>
        <stp>127.0.0.1</stp>
        <stp>1</stp>
        <stp>N</stp>
        <stp>40248</stp>
        <stp>1</stp>
        <stp>PerDevice</stp>
        <stp>502</stp>
        <tr r="AQ40" s="1"/>
      </tp>
      <tp t="s">
        <v>60</v>
        <stp/>
        <stp>127.0.0.1</stp>
        <stp>1</stp>
        <stp>N</stp>
        <stp>40243</stp>
        <stp>1</stp>
        <stp>PerDevice</stp>
        <stp>502</stp>
        <tr r="AQ35" s="1"/>
      </tp>
      <tp t="s">
        <v>84</v>
        <stp/>
        <stp>127.0.0.1</stp>
        <stp>1</stp>
        <stp>N</stp>
        <stp>40242</stp>
        <stp>1</stp>
        <stp>PerDevice</stp>
        <stp>502</stp>
        <tr r="AQ34" s="1"/>
      </tp>
      <tp t="s">
        <v>60</v>
        <stp/>
        <stp>127.0.0.1</stp>
        <stp>1</stp>
        <stp>N</stp>
        <stp>40241</stp>
        <stp>1</stp>
        <stp>PerDevice</stp>
        <stp>502</stp>
        <tr r="AQ33" s="1"/>
      </tp>
      <tp t="s">
        <v>60</v>
        <stp/>
        <stp>127.0.0.1</stp>
        <stp>1</stp>
        <stp>N</stp>
        <stp>40240</stp>
        <stp>1</stp>
        <stp>PerDevice</stp>
        <stp>502</stp>
        <tr r="AQ32" s="1"/>
      </tp>
      <tp t="s">
        <v>84</v>
        <stp/>
        <stp>127.0.0.1</stp>
        <stp>1</stp>
        <stp>N</stp>
        <stp>40247</stp>
        <stp>1</stp>
        <stp>PerDevice</stp>
        <stp>502</stp>
        <tr r="AQ39" s="1"/>
      </tp>
      <tp t="s">
        <v>84</v>
        <stp/>
        <stp>127.0.0.1</stp>
        <stp>1</stp>
        <stp>N</stp>
        <stp>40246</stp>
        <stp>1</stp>
        <stp>PerDevice</stp>
        <stp>502</stp>
        <tr r="AQ38" s="1"/>
      </tp>
      <tp t="s">
        <v>84</v>
        <stp/>
        <stp>127.0.0.1</stp>
        <stp>1</stp>
        <stp>N</stp>
        <stp>40245</stp>
        <stp>1</stp>
        <stp>PerDevice</stp>
        <stp>502</stp>
        <tr r="AQ37" s="1"/>
      </tp>
      <tp t="s">
        <v>84</v>
        <stp/>
        <stp>127.0.0.1</stp>
        <stp>1</stp>
        <stp>N</stp>
        <stp>40244</stp>
        <stp>1</stp>
        <stp>PerDevice</stp>
        <stp>502</stp>
        <tr r="AQ36" s="1"/>
      </tp>
      <tp t="s">
        <v>84</v>
        <stp/>
        <stp>127.0.0.1</stp>
        <stp>1</stp>
        <stp>N</stp>
        <stp>40239</stp>
        <stp>1</stp>
        <stp>PerDevice</stp>
        <stp>502</stp>
        <tr r="AQ31" s="1"/>
      </tp>
      <tp t="s">
        <v>84</v>
        <stp/>
        <stp>127.0.0.1</stp>
        <stp>1</stp>
        <stp>N</stp>
        <stp>40238</stp>
        <stp>1</stp>
        <stp>PerDevice</stp>
        <stp>502</stp>
        <tr r="AQ30" s="1"/>
      </tp>
      <tp t="s">
        <v>84</v>
        <stp/>
        <stp>127.0.0.1</stp>
        <stp>1</stp>
        <stp>N</stp>
        <stp>40233</stp>
        <stp>1</stp>
        <stp>PerDevice</stp>
        <stp>502</stp>
        <tr r="AQ25" s="1"/>
      </tp>
      <tp t="s">
        <v>84</v>
        <stp/>
        <stp>127.0.0.1</stp>
        <stp>1</stp>
        <stp>N</stp>
        <stp>40232</stp>
        <stp>1</stp>
        <stp>PerDevice</stp>
        <stp>502</stp>
        <tr r="AQ24" s="1"/>
      </tp>
      <tp t="s">
        <v>84</v>
        <stp/>
        <stp>127.0.0.1</stp>
        <stp>1</stp>
        <stp>N</stp>
        <stp>40231</stp>
        <stp>1</stp>
        <stp>PerDevice</stp>
        <stp>502</stp>
        <tr r="AQ23" s="1"/>
      </tp>
      <tp t="s">
        <v>84</v>
        <stp/>
        <stp>127.0.0.1</stp>
        <stp>1</stp>
        <stp>N</stp>
        <stp>40230</stp>
        <stp>1</stp>
        <stp>PerDevice</stp>
        <stp>502</stp>
        <tr r="AQ22" s="1"/>
      </tp>
      <tp t="s">
        <v>84</v>
        <stp/>
        <stp>127.0.0.1</stp>
        <stp>1</stp>
        <stp>N</stp>
        <stp>40237</stp>
        <stp>1</stp>
        <stp>PerDevice</stp>
        <stp>502</stp>
        <tr r="AQ29" s="1"/>
      </tp>
      <tp t="s">
        <v>84</v>
        <stp/>
        <stp>127.0.0.1</stp>
        <stp>1</stp>
        <stp>N</stp>
        <stp>40236</stp>
        <stp>1</stp>
        <stp>PerDevice</stp>
        <stp>502</stp>
        <tr r="AQ28" s="1"/>
      </tp>
      <tp t="s">
        <v>84</v>
        <stp/>
        <stp>127.0.0.1</stp>
        <stp>1</stp>
        <stp>N</stp>
        <stp>40235</stp>
        <stp>1</stp>
        <stp>PerDevice</stp>
        <stp>502</stp>
        <tr r="AQ27" s="1"/>
      </tp>
      <tp t="s">
        <v>84</v>
        <stp/>
        <stp>127.0.0.1</stp>
        <stp>1</stp>
        <stp>N</stp>
        <stp>40234</stp>
        <stp>1</stp>
        <stp>PerDevice</stp>
        <stp>502</stp>
        <tr r="AQ26" s="1"/>
      </tp>
      <tp t="s">
        <v>60</v>
        <stp/>
        <stp>127.0.0.1</stp>
        <stp>1</stp>
        <stp>N</stp>
        <stp>40229</stp>
        <stp>1</stp>
        <stp>PerDevice</stp>
        <stp>502</stp>
        <tr r="AQ21" s="1"/>
      </tp>
      <tp t="s">
        <v>84</v>
        <stp/>
        <stp>127.0.0.1</stp>
        <stp>1</stp>
        <stp>N</stp>
        <stp>40228</stp>
        <stp>1</stp>
        <stp>PerDevice</stp>
        <stp>502</stp>
        <tr r="AQ20" s="1"/>
      </tp>
      <tp t="s">
        <v>87</v>
        <stp/>
        <stp>127.0.0.1</stp>
        <stp>1</stp>
        <stp>N</stp>
        <stp>40223</stp>
        <stp>1</stp>
        <stp>PerDevice</stp>
        <stp>502</stp>
        <tr r="AP47" s="1"/>
      </tp>
      <tp t="s">
        <v>87</v>
        <stp/>
        <stp>127.0.0.1</stp>
        <stp>1</stp>
        <stp>N</stp>
        <stp>40222</stp>
        <stp>1</stp>
        <stp>PerDevice</stp>
        <stp>502</stp>
        <tr r="AP46" s="1"/>
      </tp>
      <tp t="s">
        <v>87</v>
        <stp/>
        <stp>127.0.0.1</stp>
        <stp>1</stp>
        <stp>N</stp>
        <stp>40221</stp>
        <stp>1</stp>
        <stp>PerDevice</stp>
        <stp>502</stp>
        <tr r="AP45" s="1"/>
      </tp>
      <tp t="s">
        <v>87</v>
        <stp/>
        <stp>127.0.0.1</stp>
        <stp>1</stp>
        <stp>N</stp>
        <stp>40220</stp>
        <stp>1</stp>
        <stp>PerDevice</stp>
        <stp>502</stp>
        <tr r="AP44" s="1"/>
      </tp>
      <tp t="s">
        <v>60</v>
        <stp/>
        <stp>127.0.0.1</stp>
        <stp>1</stp>
        <stp>N</stp>
        <stp>40227</stp>
        <stp>1</stp>
        <stp>PerDevice</stp>
        <stp>502</stp>
        <tr r="AQ19" s="1"/>
      </tp>
      <tp t="s">
        <v>60</v>
        <stp/>
        <stp>127.0.0.1</stp>
        <stp>1</stp>
        <stp>N</stp>
        <stp>40226</stp>
        <stp>1</stp>
        <stp>PerDevice</stp>
        <stp>502</stp>
        <tr r="AQ18" s="1"/>
      </tp>
      <tp t="s">
        <v>87</v>
        <stp/>
        <stp>127.0.0.1</stp>
        <stp>1</stp>
        <stp>N</stp>
        <stp>40225</stp>
        <stp>1</stp>
        <stp>PerDevice</stp>
        <stp>502</stp>
        <tr r="AQ17" s="1"/>
      </tp>
      <tp t="s">
        <v>84</v>
        <stp/>
        <stp>127.0.0.1</stp>
        <stp>1</stp>
        <stp>N</stp>
        <stp>40219</stp>
        <stp>1</stp>
        <stp>PerDevice</stp>
        <stp>502</stp>
        <tr r="AP43" s="1"/>
      </tp>
      <tp t="s">
        <v>84</v>
        <stp/>
        <stp>127.0.0.1</stp>
        <stp>1</stp>
        <stp>N</stp>
        <stp>40218</stp>
        <stp>1</stp>
        <stp>PerDevice</stp>
        <stp>502</stp>
        <tr r="AP42" s="1"/>
      </tp>
      <tp t="s">
        <v>87</v>
        <stp/>
        <stp>127.0.0.1</stp>
        <stp>1</stp>
        <stp>N</stp>
        <stp>40213</stp>
        <stp>1</stp>
        <stp>PerDevice</stp>
        <stp>502</stp>
        <tr r="AP37" s="1"/>
      </tp>
      <tp t="s">
        <v>60</v>
        <stp/>
        <stp>127.0.0.1</stp>
        <stp>1</stp>
        <stp>N</stp>
        <stp>40212</stp>
        <stp>1</stp>
        <stp>PerDevice</stp>
        <stp>502</stp>
        <tr r="AP36" s="1"/>
      </tp>
      <tp t="s">
        <v>87</v>
        <stp/>
        <stp>127.0.0.1</stp>
        <stp>1</stp>
        <stp>N</stp>
        <stp>40211</stp>
        <stp>1</stp>
        <stp>PerDevice</stp>
        <stp>502</stp>
        <tr r="AP35" s="1"/>
      </tp>
      <tp t="s">
        <v>87</v>
        <stp/>
        <stp>127.0.0.1</stp>
        <stp>1</stp>
        <stp>N</stp>
        <stp>40210</stp>
        <stp>1</stp>
        <stp>PerDevice</stp>
        <stp>502</stp>
        <tr r="AP34" s="1"/>
      </tp>
      <tp t="s">
        <v>84</v>
        <stp/>
        <stp>127.0.0.1</stp>
        <stp>1</stp>
        <stp>N</stp>
        <stp>40217</stp>
        <stp>1</stp>
        <stp>PerDevice</stp>
        <stp>502</stp>
        <tr r="AP41" s="1"/>
      </tp>
      <tp t="s">
        <v>84</v>
        <stp/>
        <stp>127.0.0.1</stp>
        <stp>1</stp>
        <stp>N</stp>
        <stp>40216</stp>
        <stp>1</stp>
        <stp>PerDevice</stp>
        <stp>502</stp>
        <tr r="AP40" s="1"/>
      </tp>
      <tp t="s">
        <v>60</v>
        <stp/>
        <stp>127.0.0.1</stp>
        <stp>1</stp>
        <stp>N</stp>
        <stp>40215</stp>
        <stp>1</stp>
        <stp>PerDevice</stp>
        <stp>502</stp>
        <tr r="AP39" s="1"/>
      </tp>
      <tp t="s">
        <v>60</v>
        <stp/>
        <stp>127.0.0.1</stp>
        <stp>1</stp>
        <stp>N</stp>
        <stp>40214</stp>
        <stp>1</stp>
        <stp>PerDevice</stp>
        <stp>502</stp>
        <tr r="AP38" s="1"/>
      </tp>
      <tp t="s">
        <v>87</v>
        <stp/>
        <stp>127.0.0.1</stp>
        <stp>1</stp>
        <stp>N</stp>
        <stp>40209</stp>
        <stp>1</stp>
        <stp>PerDevice</stp>
        <stp>502</stp>
        <tr r="AP33" s="1"/>
      </tp>
      <tp t="s">
        <v>87</v>
        <stp/>
        <stp>127.0.0.1</stp>
        <stp>1</stp>
        <stp>N</stp>
        <stp>40208</stp>
        <stp>1</stp>
        <stp>PerDevice</stp>
        <stp>502</stp>
        <tr r="AP32" s="1"/>
      </tp>
      <tp t="s">
        <v>84</v>
        <stp/>
        <stp>127.0.0.1</stp>
        <stp>1</stp>
        <stp>N</stp>
        <stp>40203</stp>
        <stp>1</stp>
        <stp>PerDevice</stp>
        <stp>502</stp>
        <tr r="AP27" s="1"/>
      </tp>
      <tp t="s">
        <v>84</v>
        <stp/>
        <stp>127.0.0.1</stp>
        <stp>1</stp>
        <stp>N</stp>
        <stp>40202</stp>
        <stp>1</stp>
        <stp>PerDevice</stp>
        <stp>502</stp>
        <tr r="AP26" s="1"/>
      </tp>
      <tp t="s">
        <v>84</v>
        <stp/>
        <stp>127.0.0.1</stp>
        <stp>1</stp>
        <stp>N</stp>
        <stp>40201</stp>
        <stp>1</stp>
        <stp>PerDevice</stp>
        <stp>502</stp>
        <tr r="AP25" s="1"/>
      </tp>
      <tp t="s">
        <v>84</v>
        <stp/>
        <stp>127.0.0.1</stp>
        <stp>1</stp>
        <stp>N</stp>
        <stp>40200</stp>
        <stp>1</stp>
        <stp>PerDevice</stp>
        <stp>502</stp>
        <tr r="AP24" s="1"/>
      </tp>
      <tp t="s">
        <v>84</v>
        <stp/>
        <stp>127.0.0.1</stp>
        <stp>1</stp>
        <stp>N</stp>
        <stp>40207</stp>
        <stp>1</stp>
        <stp>PerDevice</stp>
        <stp>502</stp>
        <tr r="AP31" s="1"/>
      </tp>
      <tp t="s">
        <v>84</v>
        <stp/>
        <stp>127.0.0.1</stp>
        <stp>1</stp>
        <stp>N</stp>
        <stp>40206</stp>
        <stp>1</stp>
        <stp>PerDevice</stp>
        <stp>502</stp>
        <tr r="AP30" s="1"/>
      </tp>
      <tp t="s">
        <v>84</v>
        <stp/>
        <stp>127.0.0.1</stp>
        <stp>1</stp>
        <stp>N</stp>
        <stp>40205</stp>
        <stp>1</stp>
        <stp>PerDevice</stp>
        <stp>502</stp>
        <tr r="AP29" s="1"/>
      </tp>
      <tp t="s">
        <v>84</v>
        <stp/>
        <stp>127.0.0.1</stp>
        <stp>1</stp>
        <stp>N</stp>
        <stp>40204</stp>
        <stp>1</stp>
        <stp>PerDevice</stp>
        <stp>502</stp>
        <tr r="AP28" s="1"/>
      </tp>
      <tp t="s">
        <v>60</v>
        <stp/>
        <stp>127.0.0.1</stp>
        <stp>1</stp>
        <stp>N</stp>
        <stp>40399</stp>
        <stp>1</stp>
        <stp>PerDevice</stp>
        <stp>502</stp>
        <tr r="AV31" s="1"/>
      </tp>
      <tp t="s">
        <v>60</v>
        <stp/>
        <stp>127.0.0.1</stp>
        <stp>1</stp>
        <stp>N</stp>
        <stp>40398</stp>
        <stp>1</stp>
        <stp>PerDevice</stp>
        <stp>502</stp>
        <tr r="AV30" s="1"/>
      </tp>
      <tp t="s">
        <v>87</v>
        <stp/>
        <stp>127.0.0.1</stp>
        <stp>1</stp>
        <stp>N</stp>
        <stp>40393</stp>
        <stp>1</stp>
        <stp>PerDevice</stp>
        <stp>502</stp>
        <tr r="AV25" s="1"/>
      </tp>
      <tp t="s">
        <v>87</v>
        <stp/>
        <stp>127.0.0.1</stp>
        <stp>1</stp>
        <stp>N</stp>
        <stp>40392</stp>
        <stp>1</stp>
        <stp>PerDevice</stp>
        <stp>502</stp>
        <tr r="AV24" s="1"/>
      </tp>
      <tp t="s">
        <v>87</v>
        <stp/>
        <stp>127.0.0.1</stp>
        <stp>1</stp>
        <stp>N</stp>
        <stp>40391</stp>
        <stp>1</stp>
        <stp>PerDevice</stp>
        <stp>502</stp>
        <tr r="AV23" s="1"/>
      </tp>
      <tp t="s">
        <v>87</v>
        <stp/>
        <stp>127.0.0.1</stp>
        <stp>1</stp>
        <stp>N</stp>
        <stp>40390</stp>
        <stp>1</stp>
        <stp>PerDevice</stp>
        <stp>502</stp>
        <tr r="AV22" s="1"/>
      </tp>
      <tp t="s">
        <v>60</v>
        <stp/>
        <stp>127.0.0.1</stp>
        <stp>1</stp>
        <stp>N</stp>
        <stp>40397</stp>
        <stp>1</stp>
        <stp>PerDevice</stp>
        <stp>502</stp>
        <tr r="AV29" s="1"/>
      </tp>
      <tp t="s">
        <v>60</v>
        <stp/>
        <stp>127.0.0.1</stp>
        <stp>1</stp>
        <stp>N</stp>
        <stp>40396</stp>
        <stp>1</stp>
        <stp>PerDevice</stp>
        <stp>502</stp>
        <tr r="AV28" s="1"/>
      </tp>
      <tp t="s">
        <v>87</v>
        <stp/>
        <stp>127.0.0.1</stp>
        <stp>1</stp>
        <stp>N</stp>
        <stp>40395</stp>
        <stp>1</stp>
        <stp>PerDevice</stp>
        <stp>502</stp>
        <tr r="AV27" s="1"/>
      </tp>
      <tp t="s">
        <v>87</v>
        <stp/>
        <stp>127.0.0.1</stp>
        <stp>1</stp>
        <stp>N</stp>
        <stp>40394</stp>
        <stp>1</stp>
        <stp>PerDevice</stp>
        <stp>502</stp>
        <tr r="AV26" s="1"/>
      </tp>
      <tp t="s">
        <v>84</v>
        <stp/>
        <stp>127.0.0.1</stp>
        <stp>1</stp>
        <stp>N</stp>
        <stp>40389</stp>
        <stp>1</stp>
        <stp>PerDevice</stp>
        <stp>502</stp>
        <tr r="AV21" s="1"/>
      </tp>
      <tp t="s">
        <v>84</v>
        <stp/>
        <stp>127.0.0.1</stp>
        <stp>1</stp>
        <stp>N</stp>
        <stp>40388</stp>
        <stp>1</stp>
        <stp>PerDevice</stp>
        <stp>502</stp>
        <tr r="AV20" s="1"/>
      </tp>
      <tp t="s">
        <v>84</v>
        <stp/>
        <stp>127.0.0.1</stp>
        <stp>1</stp>
        <stp>N</stp>
        <stp>40383</stp>
        <stp>1</stp>
        <stp>PerDevice</stp>
        <stp>502</stp>
        <tr r="AU47" s="1"/>
      </tp>
      <tp t="s">
        <v>84</v>
        <stp/>
        <stp>127.0.0.1</stp>
        <stp>1</stp>
        <stp>N</stp>
        <stp>40382</stp>
        <stp>1</stp>
        <stp>PerDevice</stp>
        <stp>502</stp>
        <tr r="AU46" s="1"/>
      </tp>
      <tp t="s">
        <v>84</v>
        <stp/>
        <stp>127.0.0.1</stp>
        <stp>1</stp>
        <stp>N</stp>
        <stp>40381</stp>
        <stp>1</stp>
        <stp>PerDevice</stp>
        <stp>502</stp>
        <tr r="AU45" s="1"/>
      </tp>
      <tp t="s">
        <v>84</v>
        <stp/>
        <stp>127.0.0.1</stp>
        <stp>1</stp>
        <stp>N</stp>
        <stp>40380</stp>
        <stp>1</stp>
        <stp>PerDevice</stp>
        <stp>502</stp>
        <tr r="AU44" s="1"/>
      </tp>
      <tp t="s">
        <v>84</v>
        <stp/>
        <stp>127.0.0.1</stp>
        <stp>1</stp>
        <stp>N</stp>
        <stp>40387</stp>
        <stp>1</stp>
        <stp>PerDevice</stp>
        <stp>502</stp>
        <tr r="AV19" s="1"/>
      </tp>
      <tp t="s">
        <v>84</v>
        <stp/>
        <stp>127.0.0.1</stp>
        <stp>1</stp>
        <stp>N</stp>
        <stp>40386</stp>
        <stp>1</stp>
        <stp>PerDevice</stp>
        <stp>502</stp>
        <tr r="AV18" s="1"/>
      </tp>
      <tp t="s">
        <v>84</v>
        <stp/>
        <stp>127.0.0.1</stp>
        <stp>1</stp>
        <stp>N</stp>
        <stp>40385</stp>
        <stp>1</stp>
        <stp>PerDevice</stp>
        <stp>502</stp>
        <tr r="AV17" s="1"/>
      </tp>
      <tp t="s">
        <v>87</v>
        <stp/>
        <stp>127.0.0.1</stp>
        <stp>1</stp>
        <stp>N</stp>
        <stp>40379</stp>
        <stp>1</stp>
        <stp>PerDevice</stp>
        <stp>502</stp>
        <tr r="AU43" s="1"/>
      </tp>
      <tp t="s">
        <v>87</v>
        <stp/>
        <stp>127.0.0.1</stp>
        <stp>1</stp>
        <stp>N</stp>
        <stp>40378</stp>
        <stp>1</stp>
        <stp>PerDevice</stp>
        <stp>502</stp>
        <tr r="AU42" s="1"/>
      </tp>
      <tp t="s">
        <v>84</v>
        <stp/>
        <stp>127.0.0.1</stp>
        <stp>1</stp>
        <stp>N</stp>
        <stp>40373</stp>
        <stp>1</stp>
        <stp>PerDevice</stp>
        <stp>502</stp>
        <tr r="AU37" s="1"/>
      </tp>
      <tp t="s">
        <v>84</v>
        <stp/>
        <stp>127.0.0.1</stp>
        <stp>1</stp>
        <stp>N</stp>
        <stp>40372</stp>
        <stp>1</stp>
        <stp>PerDevice</stp>
        <stp>502</stp>
        <tr r="AU36" s="1"/>
      </tp>
      <tp t="s">
        <v>84</v>
        <stp/>
        <stp>127.0.0.1</stp>
        <stp>1</stp>
        <stp>N</stp>
        <stp>40371</stp>
        <stp>1</stp>
        <stp>PerDevice</stp>
        <stp>502</stp>
        <tr r="AU35" s="1"/>
      </tp>
      <tp t="s">
        <v>84</v>
        <stp/>
        <stp>127.0.0.1</stp>
        <stp>1</stp>
        <stp>N</stp>
        <stp>40370</stp>
        <stp>1</stp>
        <stp>PerDevice</stp>
        <stp>502</stp>
        <tr r="AU34" s="1"/>
      </tp>
      <tp t="s">
        <v>87</v>
        <stp/>
        <stp>127.0.0.1</stp>
        <stp>1</stp>
        <stp>N</stp>
        <stp>40377</stp>
        <stp>1</stp>
        <stp>PerDevice</stp>
        <stp>502</stp>
        <tr r="AU41" s="1"/>
      </tp>
      <tp t="s">
        <v>87</v>
        <stp/>
        <stp>127.0.0.1</stp>
        <stp>1</stp>
        <stp>N</stp>
        <stp>40376</stp>
        <stp>1</stp>
        <stp>PerDevice</stp>
        <stp>502</stp>
        <tr r="AU40" s="1"/>
      </tp>
      <tp t="s">
        <v>84</v>
        <stp/>
        <stp>127.0.0.1</stp>
        <stp>1</stp>
        <stp>N</stp>
        <stp>40375</stp>
        <stp>1</stp>
        <stp>PerDevice</stp>
        <stp>502</stp>
        <tr r="AU39" s="1"/>
      </tp>
      <tp t="s">
        <v>84</v>
        <stp/>
        <stp>127.0.0.1</stp>
        <stp>1</stp>
        <stp>N</stp>
        <stp>40374</stp>
        <stp>1</stp>
        <stp>PerDevice</stp>
        <stp>502</stp>
        <tr r="AU38" s="1"/>
      </tp>
      <tp t="s">
        <v>84</v>
        <stp/>
        <stp>127.0.0.1</stp>
        <stp>1</stp>
        <stp>N</stp>
        <stp>40369</stp>
        <stp>1</stp>
        <stp>PerDevice</stp>
        <stp>502</stp>
        <tr r="AU33" s="1"/>
      </tp>
      <tp t="s">
        <v>84</v>
        <stp/>
        <stp>127.0.0.1</stp>
        <stp>1</stp>
        <stp>N</stp>
        <stp>40368</stp>
        <stp>1</stp>
        <stp>PerDevice</stp>
        <stp>502</stp>
        <tr r="AU32" s="1"/>
      </tp>
      <tp t="s">
        <v>84</v>
        <stp/>
        <stp>127.0.0.1</stp>
        <stp>1</stp>
        <stp>N</stp>
        <stp>40363</stp>
        <stp>1</stp>
        <stp>PerDevice</stp>
        <stp>502</stp>
        <tr r="AU27" s="1"/>
      </tp>
      <tp t="s">
        <v>84</v>
        <stp/>
        <stp>127.0.0.1</stp>
        <stp>1</stp>
        <stp>N</stp>
        <stp>40362</stp>
        <stp>1</stp>
        <stp>PerDevice</stp>
        <stp>502</stp>
        <tr r="AU26" s="1"/>
      </tp>
      <tp t="s">
        <v>84</v>
        <stp/>
        <stp>127.0.0.1</stp>
        <stp>1</stp>
        <stp>N</stp>
        <stp>40361</stp>
        <stp>1</stp>
        <stp>PerDevice</stp>
        <stp>502</stp>
        <tr r="AU25" s="1"/>
      </tp>
      <tp t="s">
        <v>84</v>
        <stp/>
        <stp>127.0.0.1</stp>
        <stp>1</stp>
        <stp>N</stp>
        <stp>40360</stp>
        <stp>1</stp>
        <stp>PerDevice</stp>
        <stp>502</stp>
        <tr r="AU24" s="1"/>
      </tp>
      <tp t="s">
        <v>84</v>
        <stp/>
        <stp>127.0.0.1</stp>
        <stp>1</stp>
        <stp>N</stp>
        <stp>40367</stp>
        <stp>1</stp>
        <stp>PerDevice</stp>
        <stp>502</stp>
        <tr r="AU31" s="1"/>
      </tp>
      <tp t="s">
        <v>84</v>
        <stp/>
        <stp>127.0.0.1</stp>
        <stp>1</stp>
        <stp>N</stp>
        <stp>40366</stp>
        <stp>1</stp>
        <stp>PerDevice</stp>
        <stp>502</stp>
        <tr r="AU30" s="1"/>
      </tp>
      <tp t="s">
        <v>84</v>
        <stp/>
        <stp>127.0.0.1</stp>
        <stp>1</stp>
        <stp>N</stp>
        <stp>40365</stp>
        <stp>1</stp>
        <stp>PerDevice</stp>
        <stp>502</stp>
        <tr r="AU29" s="1"/>
      </tp>
      <tp t="s">
        <v>84</v>
        <stp/>
        <stp>127.0.0.1</stp>
        <stp>1</stp>
        <stp>N</stp>
        <stp>40364</stp>
        <stp>1</stp>
        <stp>PerDevice</stp>
        <stp>502</stp>
        <tr r="AU28" s="1"/>
      </tp>
      <tp t="s">
        <v>84</v>
        <stp/>
        <stp>127.0.0.1</stp>
        <stp>1</stp>
        <stp>N</stp>
        <stp>40359</stp>
        <stp>1</stp>
        <stp>PerDevice</stp>
        <stp>502</stp>
        <tr r="AU23" s="1"/>
      </tp>
      <tp t="s">
        <v>84</v>
        <stp/>
        <stp>127.0.0.1</stp>
        <stp>1</stp>
        <stp>N</stp>
        <stp>40358</stp>
        <stp>1</stp>
        <stp>PerDevice</stp>
        <stp>502</stp>
        <tr r="AU22" s="1"/>
      </tp>
      <tp t="s">
        <v>84</v>
        <stp/>
        <stp>127.0.0.1</stp>
        <stp>1</stp>
        <stp>N</stp>
        <stp>40353</stp>
        <stp>1</stp>
        <stp>PerDevice</stp>
        <stp>502</stp>
        <tr r="AU17" s="1"/>
      </tp>
      <tp t="s">
        <v>84</v>
        <stp/>
        <stp>127.0.0.1</stp>
        <stp>1</stp>
        <stp>N</stp>
        <stp>40351</stp>
        <stp>1</stp>
        <stp>PerDevice</stp>
        <stp>502</stp>
        <tr r="AT47" s="1"/>
      </tp>
      <tp t="s">
        <v>84</v>
        <stp/>
        <stp>127.0.0.1</stp>
        <stp>1</stp>
        <stp>N</stp>
        <stp>40350</stp>
        <stp>1</stp>
        <stp>PerDevice</stp>
        <stp>502</stp>
        <tr r="AT46" s="1"/>
      </tp>
      <tp t="s">
        <v>84</v>
        <stp/>
        <stp>127.0.0.1</stp>
        <stp>1</stp>
        <stp>N</stp>
        <stp>40357</stp>
        <stp>1</stp>
        <stp>PerDevice</stp>
        <stp>502</stp>
        <tr r="AU21" s="1"/>
      </tp>
      <tp t="s">
        <v>84</v>
        <stp/>
        <stp>127.0.0.1</stp>
        <stp>1</stp>
        <stp>N</stp>
        <stp>40356</stp>
        <stp>1</stp>
        <stp>PerDevice</stp>
        <stp>502</stp>
        <tr r="AU20" s="1"/>
      </tp>
      <tp t="s">
        <v>84</v>
        <stp/>
        <stp>127.0.0.1</stp>
        <stp>1</stp>
        <stp>N</stp>
        <stp>40355</stp>
        <stp>1</stp>
        <stp>PerDevice</stp>
        <stp>502</stp>
        <tr r="AU19" s="1"/>
      </tp>
      <tp t="s">
        <v>84</v>
        <stp/>
        <stp>127.0.0.1</stp>
        <stp>1</stp>
        <stp>N</stp>
        <stp>40354</stp>
        <stp>1</stp>
        <stp>PerDevice</stp>
        <stp>502</stp>
        <tr r="AU18" s="1"/>
      </tp>
      <tp t="s">
        <v>84</v>
        <stp/>
        <stp>127.0.0.1</stp>
        <stp>1</stp>
        <stp>N</stp>
        <stp>40349</stp>
        <stp>1</stp>
        <stp>PerDevice</stp>
        <stp>502</stp>
        <tr r="AT45" s="1"/>
      </tp>
      <tp t="s">
        <v>84</v>
        <stp/>
        <stp>127.0.0.1</stp>
        <stp>1</stp>
        <stp>N</stp>
        <stp>40348</stp>
        <stp>1</stp>
        <stp>PerDevice</stp>
        <stp>502</stp>
        <tr r="AT44" s="1"/>
      </tp>
      <tp t="s">
        <v>60</v>
        <stp/>
        <stp>127.0.0.1</stp>
        <stp>1</stp>
        <stp>N</stp>
        <stp>40343</stp>
        <stp>1</stp>
        <stp>PerDevice</stp>
        <stp>502</stp>
        <tr r="AT39" s="1"/>
      </tp>
      <tp t="s">
        <v>84</v>
        <stp/>
        <stp>127.0.0.1</stp>
        <stp>1</stp>
        <stp>N</stp>
        <stp>40342</stp>
        <stp>1</stp>
        <stp>PerDevice</stp>
        <stp>502</stp>
        <tr r="AT38" s="1"/>
      </tp>
      <tp t="s">
        <v>60</v>
        <stp/>
        <stp>127.0.0.1</stp>
        <stp>1</stp>
        <stp>N</stp>
        <stp>40341</stp>
        <stp>1</stp>
        <stp>PerDevice</stp>
        <stp>502</stp>
        <tr r="AT37" s="1"/>
      </tp>
      <tp t="s">
        <v>60</v>
        <stp/>
        <stp>127.0.0.1</stp>
        <stp>1</stp>
        <stp>N</stp>
        <stp>40340</stp>
        <stp>1</stp>
        <stp>PerDevice</stp>
        <stp>502</stp>
        <tr r="AT36" s="1"/>
      </tp>
      <tp t="s">
        <v>84</v>
        <stp/>
        <stp>127.0.0.1</stp>
        <stp>1</stp>
        <stp>N</stp>
        <stp>40347</stp>
        <stp>1</stp>
        <stp>PerDevice</stp>
        <stp>502</stp>
        <tr r="AT43" s="1"/>
      </tp>
      <tp t="s">
        <v>84</v>
        <stp/>
        <stp>127.0.0.1</stp>
        <stp>1</stp>
        <stp>N</stp>
        <stp>40346</stp>
        <stp>1</stp>
        <stp>PerDevice</stp>
        <stp>502</stp>
        <tr r="AT42" s="1"/>
      </tp>
      <tp t="s">
        <v>84</v>
        <stp/>
        <stp>127.0.0.1</stp>
        <stp>1</stp>
        <stp>N</stp>
        <stp>40345</stp>
        <stp>1</stp>
        <stp>PerDevice</stp>
        <stp>502</stp>
        <tr r="AT41" s="1"/>
      </tp>
      <tp t="s">
        <v>84</v>
        <stp/>
        <stp>127.0.0.1</stp>
        <stp>1</stp>
        <stp>N</stp>
        <stp>40344</stp>
        <stp>1</stp>
        <stp>PerDevice</stp>
        <stp>502</stp>
        <tr r="AT40" s="1"/>
      </tp>
      <tp t="s">
        <v>84</v>
        <stp/>
        <stp>127.0.0.1</stp>
        <stp>1</stp>
        <stp>N</stp>
        <stp>40339</stp>
        <stp>1</stp>
        <stp>PerDevice</stp>
        <stp>502</stp>
        <tr r="AT35" s="1"/>
      </tp>
      <tp t="s">
        <v>84</v>
        <stp/>
        <stp>127.0.0.1</stp>
        <stp>1</stp>
        <stp>N</stp>
        <stp>40338</stp>
        <stp>1</stp>
        <stp>PerDevice</stp>
        <stp>502</stp>
        <tr r="AT34" s="1"/>
      </tp>
      <tp t="s">
        <v>84</v>
        <stp/>
        <stp>127.0.0.1</stp>
        <stp>1</stp>
        <stp>N</stp>
        <stp>40333</stp>
        <stp>1</stp>
        <stp>PerDevice</stp>
        <stp>502</stp>
        <tr r="AT29" s="1"/>
      </tp>
      <tp t="s">
        <v>84</v>
        <stp/>
        <stp>127.0.0.1</stp>
        <stp>1</stp>
        <stp>N</stp>
        <stp>40332</stp>
        <stp>1</stp>
        <stp>PerDevice</stp>
        <stp>502</stp>
        <tr r="AT28" s="1"/>
      </tp>
      <tp t="s">
        <v>84</v>
        <stp/>
        <stp>127.0.0.1</stp>
        <stp>1</stp>
        <stp>N</stp>
        <stp>40331</stp>
        <stp>1</stp>
        <stp>PerDevice</stp>
        <stp>502</stp>
        <tr r="AT27" s="1"/>
      </tp>
      <tp t="s">
        <v>84</v>
        <stp/>
        <stp>127.0.0.1</stp>
        <stp>1</stp>
        <stp>N</stp>
        <stp>40330</stp>
        <stp>1</stp>
        <stp>PerDevice</stp>
        <stp>502</stp>
        <tr r="AT26" s="1"/>
      </tp>
      <tp t="s">
        <v>84</v>
        <stp/>
        <stp>127.0.0.1</stp>
        <stp>1</stp>
        <stp>N</stp>
        <stp>40337</stp>
        <stp>1</stp>
        <stp>PerDevice</stp>
        <stp>502</stp>
        <tr r="AT33" s="1"/>
      </tp>
      <tp t="s">
        <v>84</v>
        <stp/>
        <stp>127.0.0.1</stp>
        <stp>1</stp>
        <stp>N</stp>
        <stp>40336</stp>
        <stp>1</stp>
        <stp>PerDevice</stp>
        <stp>502</stp>
        <tr r="AT32" s="1"/>
      </tp>
      <tp t="s">
        <v>84</v>
        <stp/>
        <stp>127.0.0.1</stp>
        <stp>1</stp>
        <stp>N</stp>
        <stp>40335</stp>
        <stp>1</stp>
        <stp>PerDevice</stp>
        <stp>502</stp>
        <tr r="AT31" s="1"/>
      </tp>
      <tp t="s">
        <v>84</v>
        <stp/>
        <stp>127.0.0.1</stp>
        <stp>1</stp>
        <stp>N</stp>
        <stp>40334</stp>
        <stp>1</stp>
        <stp>PerDevice</stp>
        <stp>502</stp>
        <tr r="AT30" s="1"/>
      </tp>
      <tp t="s">
        <v>60</v>
        <stp/>
        <stp>127.0.0.1</stp>
        <stp>1</stp>
        <stp>N</stp>
        <stp>40329</stp>
        <stp>1</stp>
        <stp>PerDevice</stp>
        <stp>502</stp>
        <tr r="AT25" s="1"/>
      </tp>
      <tp t="s">
        <v>75</v>
        <stp/>
        <stp>127.0.0.1</stp>
        <stp>1</stp>
        <stp>N</stp>
        <stp>40328</stp>
        <stp>1</stp>
        <stp>PerDevice</stp>
        <stp>502</stp>
        <tr r="AT24" s="1"/>
      </tp>
      <tp t="s">
        <v>87</v>
        <stp/>
        <stp>127.0.0.1</stp>
        <stp>1</stp>
        <stp>N</stp>
        <stp>40323</stp>
        <stp>1</stp>
        <stp>PerDevice</stp>
        <stp>502</stp>
        <tr r="AT19" s="1"/>
      </tp>
      <tp t="s">
        <v>87</v>
        <stp/>
        <stp>127.0.0.1</stp>
        <stp>1</stp>
        <stp>N</stp>
        <stp>40322</stp>
        <stp>1</stp>
        <stp>PerDevice</stp>
        <stp>502</stp>
        <tr r="AT18" s="1"/>
      </tp>
      <tp t="s">
        <v>87</v>
        <stp/>
        <stp>127.0.0.1</stp>
        <stp>1</stp>
        <stp>N</stp>
        <stp>40321</stp>
        <stp>1</stp>
        <stp>PerDevice</stp>
        <stp>502</stp>
        <tr r="AT17" s="1"/>
      </tp>
      <tp t="s">
        <v>60</v>
        <stp/>
        <stp>127.0.0.1</stp>
        <stp>1</stp>
        <stp>N</stp>
        <stp>40327</stp>
        <stp>1</stp>
        <stp>PerDevice</stp>
        <stp>502</stp>
        <tr r="AT23" s="1"/>
      </tp>
      <tp t="s">
        <v>60</v>
        <stp/>
        <stp>127.0.0.1</stp>
        <stp>1</stp>
        <stp>N</stp>
        <stp>40326</stp>
        <stp>1</stp>
        <stp>PerDevice</stp>
        <stp>502</stp>
        <tr r="AT22" s="1"/>
      </tp>
      <tp t="s">
        <v>87</v>
        <stp/>
        <stp>127.0.0.1</stp>
        <stp>1</stp>
        <stp>N</stp>
        <stp>40325</stp>
        <stp>1</stp>
        <stp>PerDevice</stp>
        <stp>502</stp>
        <tr r="AT21" s="1"/>
      </tp>
      <tp t="s">
        <v>87</v>
        <stp/>
        <stp>127.0.0.1</stp>
        <stp>1</stp>
        <stp>N</stp>
        <stp>40324</stp>
        <stp>1</stp>
        <stp>PerDevice</stp>
        <stp>502</stp>
        <tr r="AT20" s="1"/>
      </tp>
      <tp t="s">
        <v>84</v>
        <stp/>
        <stp>127.0.0.1</stp>
        <stp>1</stp>
        <stp>N</stp>
        <stp>40319</stp>
        <stp>1</stp>
        <stp>PerDevice</stp>
        <stp>502</stp>
        <tr r="AS47" s="1"/>
      </tp>
      <tp t="s">
        <v>84</v>
        <stp/>
        <stp>127.0.0.1</stp>
        <stp>1</stp>
        <stp>N</stp>
        <stp>40318</stp>
        <stp>1</stp>
        <stp>PerDevice</stp>
        <stp>502</stp>
        <tr r="AS46" s="1"/>
      </tp>
      <tp t="s">
        <v>87</v>
        <stp/>
        <stp>127.0.0.1</stp>
        <stp>1</stp>
        <stp>N</stp>
        <stp>40313</stp>
        <stp>1</stp>
        <stp>PerDevice</stp>
        <stp>502</stp>
        <tr r="AS41" s="1"/>
      </tp>
      <tp t="s">
        <v>60</v>
        <stp/>
        <stp>127.0.0.1</stp>
        <stp>1</stp>
        <stp>N</stp>
        <stp>40312</stp>
        <stp>1</stp>
        <stp>PerDevice</stp>
        <stp>502</stp>
        <tr r="AS40" s="1"/>
      </tp>
      <tp t="s">
        <v>87</v>
        <stp/>
        <stp>127.0.0.1</stp>
        <stp>1</stp>
        <stp>N</stp>
        <stp>40311</stp>
        <stp>1</stp>
        <stp>PerDevice</stp>
        <stp>502</stp>
        <tr r="AS39" s="1"/>
      </tp>
      <tp t="s">
        <v>87</v>
        <stp/>
        <stp>127.0.0.1</stp>
        <stp>1</stp>
        <stp>N</stp>
        <stp>40310</stp>
        <stp>1</stp>
        <stp>PerDevice</stp>
        <stp>502</stp>
        <tr r="AS38" s="1"/>
      </tp>
      <tp t="s">
        <v>84</v>
        <stp/>
        <stp>127.0.0.1</stp>
        <stp>1</stp>
        <stp>N</stp>
        <stp>40317</stp>
        <stp>1</stp>
        <stp>PerDevice</stp>
        <stp>502</stp>
        <tr r="AS45" s="1"/>
      </tp>
      <tp t="s">
        <v>84</v>
        <stp/>
        <stp>127.0.0.1</stp>
        <stp>1</stp>
        <stp>N</stp>
        <stp>40316</stp>
        <stp>1</stp>
        <stp>PerDevice</stp>
        <stp>502</stp>
        <tr r="AS44" s="1"/>
      </tp>
      <tp t="s">
        <v>60</v>
        <stp/>
        <stp>127.0.0.1</stp>
        <stp>1</stp>
        <stp>N</stp>
        <stp>40315</stp>
        <stp>1</stp>
        <stp>PerDevice</stp>
        <stp>502</stp>
        <tr r="AS43" s="1"/>
      </tp>
      <tp t="s">
        <v>60</v>
        <stp/>
        <stp>127.0.0.1</stp>
        <stp>1</stp>
        <stp>N</stp>
        <stp>40314</stp>
        <stp>1</stp>
        <stp>PerDevice</stp>
        <stp>502</stp>
        <tr r="AS42" s="1"/>
      </tp>
      <tp t="s">
        <v>87</v>
        <stp/>
        <stp>127.0.0.1</stp>
        <stp>1</stp>
        <stp>N</stp>
        <stp>40309</stp>
        <stp>1</stp>
        <stp>PerDevice</stp>
        <stp>502</stp>
        <tr r="AS37" s="1"/>
      </tp>
      <tp t="s">
        <v>87</v>
        <stp/>
        <stp>127.0.0.1</stp>
        <stp>1</stp>
        <stp>N</stp>
        <stp>40308</stp>
        <stp>1</stp>
        <stp>PerDevice</stp>
        <stp>502</stp>
        <tr r="AS36" s="1"/>
      </tp>
      <tp t="s">
        <v>84</v>
        <stp/>
        <stp>127.0.0.1</stp>
        <stp>1</stp>
        <stp>N</stp>
        <stp>40303</stp>
        <stp>1</stp>
        <stp>PerDevice</stp>
        <stp>502</stp>
        <tr r="AS31" s="1"/>
      </tp>
      <tp t="s">
        <v>84</v>
        <stp/>
        <stp>127.0.0.1</stp>
        <stp>1</stp>
        <stp>N</stp>
        <stp>40302</stp>
        <stp>1</stp>
        <stp>PerDevice</stp>
        <stp>502</stp>
        <tr r="AS30" s="1"/>
      </tp>
      <tp t="s">
        <v>84</v>
        <stp/>
        <stp>127.0.0.1</stp>
        <stp>1</stp>
        <stp>N</stp>
        <stp>40301</stp>
        <stp>1</stp>
        <stp>PerDevice</stp>
        <stp>502</stp>
        <tr r="AS29" s="1"/>
      </tp>
      <tp t="s">
        <v>84</v>
        <stp/>
        <stp>127.0.0.1</stp>
        <stp>1</stp>
        <stp>N</stp>
        <stp>40300</stp>
        <stp>1</stp>
        <stp>PerDevice</stp>
        <stp>502</stp>
        <tr r="AS28" s="1"/>
      </tp>
      <tp t="s">
        <v>84</v>
        <stp/>
        <stp>127.0.0.1</stp>
        <stp>1</stp>
        <stp>N</stp>
        <stp>40307</stp>
        <stp>1</stp>
        <stp>PerDevice</stp>
        <stp>502</stp>
        <tr r="AS35" s="1"/>
      </tp>
      <tp t="s">
        <v>84</v>
        <stp/>
        <stp>127.0.0.1</stp>
        <stp>1</stp>
        <stp>N</stp>
        <stp>40306</stp>
        <stp>1</stp>
        <stp>PerDevice</stp>
        <stp>502</stp>
        <tr r="AS34" s="1"/>
      </tp>
      <tp t="s">
        <v>84</v>
        <stp/>
        <stp>127.0.0.1</stp>
        <stp>1</stp>
        <stp>N</stp>
        <stp>40305</stp>
        <stp>1</stp>
        <stp>PerDevice</stp>
        <stp>502</stp>
        <tr r="AS33" s="1"/>
      </tp>
      <tp t="s">
        <v>84</v>
        <stp/>
        <stp>127.0.0.1</stp>
        <stp>1</stp>
        <stp>N</stp>
        <stp>40304</stp>
        <stp>1</stp>
        <stp>PerDevice</stp>
        <stp>502</stp>
        <tr r="AS32" s="1"/>
      </tp>
      <tp>
        <v>-72</v>
        <stp/>
        <stp>ReadPending</stp>
        <stp/>
        <stp/>
        <stp/>
        <stp/>
        <stp/>
        <tr r="C11" s="1"/>
      </tp>
      <tp>
        <v>16384</v>
        <stp/>
        <stp>DebugLevel</stp>
        <stp>16384</stp>
        <stp/>
        <stp/>
        <stp/>
        <stp/>
        <tr r="C1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KSelvia\AppData\Local\Temp\DatabaseTableEdit_32x32.pn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36244</xdr:rowOff>
    </xdr:from>
    <xdr:to>
      <xdr:col>0</xdr:col>
      <xdr:colOff>422394</xdr:colOff>
      <xdr:row>0</xdr:row>
      <xdr:rowOff>322866</xdr:rowOff>
    </xdr:to>
    <xdr:grpSp>
      <xdr:nvGrpSpPr>
        <xdr:cNvPr id="10" name="Group 9"/>
        <xdr:cNvGrpSpPr/>
      </xdr:nvGrpSpPr>
      <xdr:grpSpPr>
        <a:xfrm>
          <a:off x="142875" y="36244"/>
          <a:ext cx="279519" cy="286622"/>
          <a:chOff x="142875" y="36244"/>
          <a:chExt cx="279519" cy="286622"/>
        </a:xfrm>
      </xdr:grpSpPr>
      <xdr:pic macro="[0]!RTDSErverStopped_Click">
        <xdr:nvPicPr>
          <xdr:cNvPr id="3" name="RTDSErverStopped" descr="AvocadoGreen.png"/>
          <xdr:cNvPicPr>
            <a:picLocks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rgbClr val="FF0000">
                <a:tint val="45000"/>
                <a:satMod val="400000"/>
              </a:srgbClr>
            </a:duotone>
          </a:blip>
          <a:stretch>
            <a:fillRect/>
          </a:stretch>
        </xdr:blipFill>
        <xdr:spPr>
          <a:xfrm>
            <a:off x="148074" y="36244"/>
            <a:ext cx="274320" cy="274320"/>
          </a:xfrm>
          <a:prstGeom prst="rect">
            <a:avLst/>
          </a:prstGeom>
        </xdr:spPr>
      </xdr:pic>
      <xdr:grpSp>
        <xdr:nvGrpSpPr>
          <xdr:cNvPr id="6" name="Group 5"/>
          <xdr:cNvGrpSpPr/>
        </xdr:nvGrpSpPr>
        <xdr:grpSpPr>
          <a:xfrm>
            <a:off x="142875" y="47625"/>
            <a:ext cx="277019" cy="275241"/>
            <a:chOff x="142875" y="66675"/>
            <a:chExt cx="277019" cy="275241"/>
          </a:xfrm>
        </xdr:grpSpPr>
        <xdr:pic macro="[0]!RTDServerStarted_Click">
          <xdr:nvPicPr>
            <xdr:cNvPr id="7" name="RTDSErverStopp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rgbClr val="FF0000">
                  <a:tint val="45000"/>
                  <a:satMod val="400000"/>
                </a:srgbClr>
              </a:duotone>
            </a:blip>
            <a:stretch>
              <a:fillRect/>
            </a:stretch>
          </xdr:blipFill>
          <xdr:spPr>
            <a:xfrm>
              <a:off x="142875" y="66675"/>
              <a:ext cx="277019" cy="275241"/>
            </a:xfrm>
            <a:prstGeom prst="rect">
              <a:avLst/>
            </a:prstGeom>
          </xdr:spPr>
        </xdr:pic>
        <xdr:pic macro="[0]!RTDServerStarted_Click">
          <xdr:nvPicPr>
            <xdr:cNvPr id="8" name="RTDServerStart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/>
            <a:stretch>
              <a:fillRect/>
            </a:stretch>
          </xdr:blipFill>
          <xdr:spPr>
            <a:xfrm>
              <a:off x="142875" y="66675"/>
              <a:ext cx="273107" cy="275241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0</xdr:col>
      <xdr:colOff>1333500</xdr:colOff>
      <xdr:row>0</xdr:row>
      <xdr:rowOff>0</xdr:rowOff>
    </xdr:from>
    <xdr:to>
      <xdr:col>0</xdr:col>
      <xdr:colOff>1337469</xdr:colOff>
      <xdr:row>0</xdr:row>
      <xdr:rowOff>190500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333500" y="0"/>
          <a:ext cx="3969" cy="190500"/>
        </a:xfrm>
        <a:prstGeom prst="rect">
          <a:avLst/>
        </a:prstGeom>
      </xdr:spPr>
    </xdr:pic>
    <xdr:clientData/>
  </xdr:twoCellAnchor>
  <xdr:twoCellAnchor>
    <xdr:from>
      <xdr:col>0</xdr:col>
      <xdr:colOff>443544</xdr:colOff>
      <xdr:row>0</xdr:row>
      <xdr:rowOff>64819</xdr:rowOff>
    </xdr:from>
    <xdr:to>
      <xdr:col>0</xdr:col>
      <xdr:colOff>743962</xdr:colOff>
      <xdr:row>0</xdr:row>
      <xdr:rowOff>315197</xdr:rowOff>
    </xdr:to>
    <xdr:pic macro="[0]!RTDSErverStopped_Click">
      <xdr:nvPicPr>
        <xdr:cNvPr id="4" name="RTDServerStarted" descr="AvocadoGreen.png" hidden="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3544" y="64819"/>
          <a:ext cx="300418" cy="2503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M133"/>
  <sheetViews>
    <sheetView tabSelected="1" workbookViewId="0">
      <selection activeCell="C3" sqref="C3"/>
    </sheetView>
  </sheetViews>
  <sheetFormatPr defaultRowHeight="15" x14ac:dyDescent="0.25"/>
  <cols>
    <col min="1" max="1" width="26.7109375" customWidth="1"/>
    <col min="2" max="2" width="6.5703125" style="3" customWidth="1"/>
    <col min="3" max="3" width="7.42578125" customWidth="1"/>
    <col min="4" max="4" width="10.42578125" customWidth="1"/>
    <col min="5" max="5" width="6" bestFit="1" customWidth="1"/>
    <col min="6" max="8" width="6" hidden="1" customWidth="1"/>
    <col min="9" max="9" width="3" hidden="1" customWidth="1"/>
    <col min="10" max="33" width="6" hidden="1" customWidth="1"/>
    <col min="34" max="34" width="7" hidden="1" customWidth="1"/>
    <col min="35" max="64" width="4.7109375" bestFit="1" customWidth="1"/>
    <col min="65" max="65" width="4.28515625" bestFit="1" customWidth="1"/>
  </cols>
  <sheetData>
    <row r="1" spans="1:65" ht="38.25" customHeight="1" x14ac:dyDescent="0.25">
      <c r="A1" s="38" t="s">
        <v>40</v>
      </c>
      <c r="B1" s="38"/>
      <c r="C1" s="2" t="s">
        <v>11</v>
      </c>
      <c r="D1" s="1"/>
      <c r="I1" s="20" t="s">
        <v>38</v>
      </c>
    </row>
    <row r="2" spans="1:65" ht="12.95" customHeight="1" x14ac:dyDescent="0.25">
      <c r="A2" s="4" t="s">
        <v>2</v>
      </c>
      <c r="B2" s="4"/>
      <c r="C2" s="5" t="e">
        <f>RTD("modbusexcel.rtd",,"PollRate","1000",,,)</f>
        <v>#N/A</v>
      </c>
      <c r="D2" s="8" t="s">
        <v>8</v>
      </c>
    </row>
    <row r="3" spans="1:65" ht="12.95" customHeight="1" x14ac:dyDescent="0.25">
      <c r="A3" s="41" t="s">
        <v>1</v>
      </c>
      <c r="B3" s="40"/>
      <c r="C3" s="5">
        <f>RTD("modbusexcel.rtd",,"ExcelUpdateRate","2000",,,)</f>
        <v>2000</v>
      </c>
      <c r="D3" s="9" t="s">
        <v>37</v>
      </c>
    </row>
    <row r="4" spans="1:65" ht="12.95" customHeight="1" x14ac:dyDescent="0.25">
      <c r="A4" s="41" t="s">
        <v>7</v>
      </c>
      <c r="B4" s="40"/>
      <c r="C4" s="5">
        <f>RTD("modbusexcel.rtd",,"SocketTimeout","180000",,,)</f>
        <v>180000</v>
      </c>
      <c r="D4" s="19" t="s">
        <v>9</v>
      </c>
      <c r="E4" s="21" t="s">
        <v>41</v>
      </c>
      <c r="G4" s="22"/>
      <c r="H4" s="22"/>
      <c r="I4" s="23"/>
      <c r="J4" s="22"/>
      <c r="K4" s="24"/>
      <c r="L4" s="22"/>
      <c r="M4" s="22"/>
      <c r="N4" s="23"/>
      <c r="O4" s="22"/>
      <c r="P4" s="24"/>
      <c r="Q4" s="22"/>
      <c r="R4" s="22"/>
      <c r="S4" s="23"/>
      <c r="T4" s="22"/>
      <c r="U4" s="24"/>
      <c r="V4" s="22"/>
      <c r="W4" s="22"/>
      <c r="X4" s="23"/>
      <c r="Y4" s="22"/>
    </row>
    <row r="5" spans="1:65" ht="12.95" customHeight="1" x14ac:dyDescent="0.25">
      <c r="A5" s="4" t="s">
        <v>3</v>
      </c>
      <c r="B5" s="4"/>
      <c r="C5" s="5" t="str">
        <f>RTD("modbusexcel.rtd",,"DeleteCachedValues","false",,,)</f>
        <v>False</v>
      </c>
      <c r="D5" s="19" t="s">
        <v>10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</row>
    <row r="6" spans="1:65" s="3" customFormat="1" ht="12.95" customHeight="1" x14ac:dyDescent="0.25">
      <c r="A6" s="41" t="s">
        <v>30</v>
      </c>
      <c r="B6" s="40"/>
      <c r="C6" s="7">
        <f>RTD("modbusexcel.rtd",,"maxread","300000",,,)</f>
        <v>300000</v>
      </c>
      <c r="D6" s="28" t="s">
        <v>103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</row>
    <row r="7" spans="1:65" s="3" customFormat="1" ht="12.95" customHeight="1" x14ac:dyDescent="0.25">
      <c r="A7" s="41" t="s">
        <v>31</v>
      </c>
      <c r="B7" s="40"/>
      <c r="C7" s="7">
        <f>RTD("modbusexcel.rtd",,"minconnections","-1",,,)</f>
        <v>-1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</row>
    <row r="8" spans="1:65" s="3" customFormat="1" ht="12.95" customHeight="1" x14ac:dyDescent="0.25">
      <c r="A8" s="41" t="s">
        <v>28</v>
      </c>
      <c r="B8" s="40"/>
      <c r="C8" s="7">
        <f>RTD("modbusexcel.rtd",,"maxqueue","-1",,,)</f>
        <v>-1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</row>
    <row r="9" spans="1:65" s="3" customFormat="1" ht="12.95" customHeight="1" x14ac:dyDescent="0.25">
      <c r="A9" s="41" t="s">
        <v>32</v>
      </c>
      <c r="B9" s="40"/>
      <c r="C9" s="7">
        <f>RTD("modbusexcel.rtd",,"simulate","0",,,)</f>
        <v>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</row>
    <row r="10" spans="1:65" ht="12.95" customHeight="1" x14ac:dyDescent="0.25">
      <c r="A10" s="39" t="s">
        <v>4</v>
      </c>
      <c r="B10" s="40"/>
      <c r="C10" s="7">
        <f>RTD("modbusexcel.rtd",,"TopicCount",,,,,)</f>
        <v>930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</row>
    <row r="11" spans="1:65" s="3" customFormat="1" ht="12.95" customHeight="1" x14ac:dyDescent="0.25">
      <c r="A11" s="39" t="s">
        <v>29</v>
      </c>
      <c r="B11" s="40"/>
      <c r="C11" s="7">
        <f>RTD("modbusexcel.rtd",,"ReadPending",,,,,)</f>
        <v>-72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65" s="3" customFormat="1" ht="12.95" customHeight="1" x14ac:dyDescent="0.25">
      <c r="A12" s="39" t="s">
        <v>27</v>
      </c>
      <c r="B12" s="40"/>
      <c r="C12" s="7">
        <f>RTD("modbusexcel.rtd",,"ConnectionPending",,,,,)</f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65" ht="12.95" customHeight="1" x14ac:dyDescent="0.25">
      <c r="A13" s="39" t="s">
        <v>5</v>
      </c>
      <c r="B13" s="40"/>
      <c r="C13" s="7">
        <f>RTD("modbusexcel.rtd",,"ConnectionCount",,,,,)</f>
        <v>-1</v>
      </c>
      <c r="D13" s="3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</row>
    <row r="14" spans="1:65" ht="12.95" customHeight="1" x14ac:dyDescent="0.25">
      <c r="A14" s="39" t="s">
        <v>6</v>
      </c>
      <c r="B14" s="40"/>
      <c r="C14" s="7" t="str">
        <f>RTD("modbusexcel.rtd",,"SendReceiveCount",,,,,)</f>
        <v>33606/33534</v>
      </c>
      <c r="D14" s="3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</row>
    <row r="15" spans="1:65" ht="12.95" customHeight="1" x14ac:dyDescent="0.25">
      <c r="A15" s="39" t="s">
        <v>35</v>
      </c>
      <c r="B15" s="40"/>
      <c r="C15" s="15">
        <f>RTD("modbusexcel.rtd",,"DebugLevel",LogLevel,,,,)</f>
        <v>16384</v>
      </c>
      <c r="D15" s="6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</row>
    <row r="16" spans="1:65" s="24" customFormat="1" ht="12.95" customHeight="1" x14ac:dyDescent="0.2">
      <c r="A16" s="29" t="s">
        <v>42</v>
      </c>
      <c r="B16" s="29" t="s">
        <v>26</v>
      </c>
      <c r="C16" s="29" t="s">
        <v>0</v>
      </c>
      <c r="D16" s="29" t="s">
        <v>43</v>
      </c>
      <c r="E16" s="30" t="s">
        <v>44</v>
      </c>
      <c r="F16" s="30" t="s">
        <v>45</v>
      </c>
      <c r="G16" s="30" t="s">
        <v>46</v>
      </c>
      <c r="H16" s="30" t="s">
        <v>47</v>
      </c>
      <c r="I16" s="30" t="s">
        <v>48</v>
      </c>
      <c r="J16" s="30" t="s">
        <v>49</v>
      </c>
      <c r="K16" s="30" t="s">
        <v>50</v>
      </c>
      <c r="L16" s="30" t="s">
        <v>51</v>
      </c>
      <c r="M16" s="30" t="s">
        <v>52</v>
      </c>
      <c r="N16" s="30" t="s">
        <v>53</v>
      </c>
      <c r="O16" s="30" t="s">
        <v>54</v>
      </c>
      <c r="P16" s="30" t="s">
        <v>55</v>
      </c>
      <c r="Q16" s="30" t="s">
        <v>56</v>
      </c>
      <c r="R16" s="30" t="s">
        <v>57</v>
      </c>
      <c r="S16" s="30" t="s">
        <v>58</v>
      </c>
      <c r="T16" s="30" t="s">
        <v>59</v>
      </c>
      <c r="U16" s="30" t="s">
        <v>60</v>
      </c>
      <c r="V16" s="30" t="s">
        <v>61</v>
      </c>
      <c r="W16" s="30" t="s">
        <v>62</v>
      </c>
      <c r="X16" s="30" t="s">
        <v>63</v>
      </c>
      <c r="Y16" s="30" t="s">
        <v>64</v>
      </c>
      <c r="Z16" s="30" t="s">
        <v>65</v>
      </c>
      <c r="AA16" s="30" t="s">
        <v>66</v>
      </c>
      <c r="AB16" s="30" t="s">
        <v>67</v>
      </c>
      <c r="AC16" s="30" t="s">
        <v>68</v>
      </c>
      <c r="AD16" s="30" t="s">
        <v>69</v>
      </c>
      <c r="AE16" s="30" t="s">
        <v>70</v>
      </c>
      <c r="AF16" s="30" t="s">
        <v>71</v>
      </c>
      <c r="AG16" s="30" t="s">
        <v>72</v>
      </c>
      <c r="AH16" s="30" t="s">
        <v>73</v>
      </c>
      <c r="AI16" s="29" t="s">
        <v>10</v>
      </c>
      <c r="AJ16" s="31" t="s">
        <v>74</v>
      </c>
      <c r="AK16" s="31" t="s">
        <v>75</v>
      </c>
      <c r="AL16" s="31" t="s">
        <v>76</v>
      </c>
      <c r="AM16" s="31" t="s">
        <v>76</v>
      </c>
      <c r="AN16" s="31" t="s">
        <v>77</v>
      </c>
      <c r="AO16" s="31" t="s">
        <v>78</v>
      </c>
      <c r="AP16" s="31" t="s">
        <v>79</v>
      </c>
      <c r="AQ16" s="31" t="s">
        <v>80</v>
      </c>
      <c r="AR16" s="31" t="s">
        <v>81</v>
      </c>
      <c r="AS16" s="31" t="s">
        <v>82</v>
      </c>
      <c r="AT16" s="31" t="s">
        <v>83</v>
      </c>
      <c r="AU16" s="31" t="s">
        <v>84</v>
      </c>
      <c r="AV16" s="31" t="s">
        <v>85</v>
      </c>
      <c r="AW16" s="31" t="s">
        <v>86</v>
      </c>
      <c r="AX16" s="31" t="s">
        <v>87</v>
      </c>
      <c r="AY16" s="31" t="s">
        <v>88</v>
      </c>
      <c r="AZ16" s="31" t="s">
        <v>89</v>
      </c>
      <c r="BA16" s="31" t="s">
        <v>90</v>
      </c>
      <c r="BB16" s="31" t="s">
        <v>91</v>
      </c>
      <c r="BC16" s="31" t="s">
        <v>92</v>
      </c>
      <c r="BD16" s="31" t="s">
        <v>93</v>
      </c>
      <c r="BE16" s="31" t="s">
        <v>94</v>
      </c>
      <c r="BF16" s="31" t="s">
        <v>95</v>
      </c>
      <c r="BG16" s="31" t="s">
        <v>96</v>
      </c>
      <c r="BH16" s="31" t="s">
        <v>97</v>
      </c>
      <c r="BI16" s="31" t="s">
        <v>98</v>
      </c>
      <c r="BJ16" s="31" t="s">
        <v>99</v>
      </c>
      <c r="BK16" s="31" t="s">
        <v>100</v>
      </c>
      <c r="BL16" s="31" t="s">
        <v>101</v>
      </c>
      <c r="BM16" s="31" t="s">
        <v>102</v>
      </c>
    </row>
    <row r="17" spans="1:65" s="24" customFormat="1" ht="12" x14ac:dyDescent="0.2">
      <c r="A17" s="25" t="s">
        <v>12</v>
      </c>
      <c r="B17" s="24">
        <v>502</v>
      </c>
      <c r="C17" s="32">
        <v>1</v>
      </c>
      <c r="D17" s="33" t="s">
        <v>104</v>
      </c>
      <c r="E17" s="34">
        <v>40001</v>
      </c>
      <c r="F17" s="34">
        <f t="shared" ref="F17:F32" si="0">E17+32</f>
        <v>40033</v>
      </c>
      <c r="G17" s="34">
        <f t="shared" ref="G17:G47" si="1">F17+32</f>
        <v>40065</v>
      </c>
      <c r="H17" s="34">
        <f t="shared" ref="H17:H47" si="2">G17+32</f>
        <v>40097</v>
      </c>
      <c r="I17" s="34">
        <f t="shared" ref="I17:I47" si="3">H17+32</f>
        <v>40129</v>
      </c>
      <c r="J17" s="34">
        <f t="shared" ref="J17:J47" si="4">I17+32</f>
        <v>40161</v>
      </c>
      <c r="K17" s="34">
        <f t="shared" ref="K17:K47" si="5">J17+32</f>
        <v>40193</v>
      </c>
      <c r="L17" s="34">
        <f t="shared" ref="L17:L47" si="6">K17+32</f>
        <v>40225</v>
      </c>
      <c r="M17" s="34">
        <f t="shared" ref="M17:M47" si="7">L17+32</f>
        <v>40257</v>
      </c>
      <c r="N17" s="34">
        <f t="shared" ref="N17:N47" si="8">M17+32</f>
        <v>40289</v>
      </c>
      <c r="O17" s="34">
        <f t="shared" ref="O17:O47" si="9">N17+32</f>
        <v>40321</v>
      </c>
      <c r="P17" s="34">
        <f t="shared" ref="P17:P47" si="10">O17+32</f>
        <v>40353</v>
      </c>
      <c r="Q17" s="34">
        <f t="shared" ref="Q17:Q47" si="11">P17+32</f>
        <v>40385</v>
      </c>
      <c r="R17" s="34">
        <f t="shared" ref="R17:R47" si="12">Q17+32</f>
        <v>40417</v>
      </c>
      <c r="S17" s="34">
        <f t="shared" ref="S17:S47" si="13">R17+32</f>
        <v>40449</v>
      </c>
      <c r="T17" s="34">
        <f t="shared" ref="T17:T47" si="14">S17+32</f>
        <v>40481</v>
      </c>
      <c r="U17" s="34">
        <f t="shared" ref="U17:U47" si="15">T17+32</f>
        <v>40513</v>
      </c>
      <c r="V17" s="34">
        <f t="shared" ref="V17:V47" si="16">U17+32</f>
        <v>40545</v>
      </c>
      <c r="W17" s="34">
        <f t="shared" ref="W17:W47" si="17">V17+32</f>
        <v>40577</v>
      </c>
      <c r="X17" s="34">
        <f t="shared" ref="X17:X47" si="18">W17+32</f>
        <v>40609</v>
      </c>
      <c r="Y17" s="34">
        <f t="shared" ref="Y17:Y47" si="19">X17+32</f>
        <v>40641</v>
      </c>
      <c r="Z17" s="34">
        <f t="shared" ref="Z17:Z47" si="20">Y17+32</f>
        <v>40673</v>
      </c>
      <c r="AA17" s="34">
        <f t="shared" ref="AA17:AA47" si="21">Z17+32</f>
        <v>40705</v>
      </c>
      <c r="AB17" s="34">
        <f t="shared" ref="AB17:AB47" si="22">AA17+32</f>
        <v>40737</v>
      </c>
      <c r="AC17" s="34">
        <f t="shared" ref="AC17:AC47" si="23">AB17+32</f>
        <v>40769</v>
      </c>
      <c r="AD17" s="34">
        <f t="shared" ref="AD17:AD47" si="24">AC17+32</f>
        <v>40801</v>
      </c>
      <c r="AE17" s="34">
        <f t="shared" ref="AE17:AE47" si="25">AD17+32</f>
        <v>40833</v>
      </c>
      <c r="AF17" s="34">
        <f t="shared" ref="AF17:AF47" si="26">AE17+32</f>
        <v>40865</v>
      </c>
      <c r="AG17" s="34">
        <f t="shared" ref="AG17:AG47" si="27">AF17+32</f>
        <v>40897</v>
      </c>
      <c r="AH17" s="34">
        <f t="shared" ref="AH17:AH47" si="28">AG17+32</f>
        <v>40929</v>
      </c>
      <c r="AI17" s="35">
        <v>1</v>
      </c>
      <c r="AJ17" s="26" t="str">
        <f>RTD("modbusexcel.rtd",,$A$17,$C$17,IF($E$4="n","D",$D$17),E17,$AI17,$D$3,$B$17)</f>
        <v>84</v>
      </c>
      <c r="AK17" s="26" t="str">
        <f>RTD("modbusexcel.rtd",,$A17,$C$17,IF($E$4="n","D",$D17),F17,$AI17,$D$3,$B17)</f>
        <v>84</v>
      </c>
      <c r="AL17" s="26" t="str">
        <f>RTD("modbusexcel.rtd",,$A17,$C$17,IF($E$4="n","D",$D17),G17,$AI17,$D$3,$B17)</f>
        <v>84</v>
      </c>
      <c r="AM17" s="26" t="str">
        <f>RTD("modbusexcel.rtd",,$A17,$C$17,IF($E$4="n","D",$D17),H17,$AI17,$D$3,$B17)</f>
        <v>60</v>
      </c>
      <c r="AN17" s="26" t="str">
        <f>RTD("modbusexcel.rtd",,$A17,$C$17,IF($E$4="n","D",$D17),I17,$AI17,$D$3,$B17)</f>
        <v>60</v>
      </c>
      <c r="AO17" s="26" t="str">
        <f>RTD("modbusexcel.rtd",,$A17,$C$17,IF($E$4="n","D",$D17),J17,$AI17,$D$3,$B17)</f>
        <v>84</v>
      </c>
      <c r="AP17" s="26" t="str">
        <f>RTD("modbusexcel.rtd",,$A17,$C$17,IF($E$4="n","D",$D17),K17,$AI17,$D$3,$B17)</f>
        <v>87</v>
      </c>
      <c r="AQ17" s="26" t="str">
        <f>RTD("modbusexcel.rtd",,$A17,$C$17,IF($E$4="n","D",$D17),L17,$AI17,$D$3,$B17)</f>
        <v>87</v>
      </c>
      <c r="AR17" s="26" t="str">
        <f>RTD("modbusexcel.rtd",,$A17,$C$17,IF($E$4="n","D",$D17),M17,$AI17,$D$3,$B17)</f>
        <v>84</v>
      </c>
      <c r="AS17" s="26" t="str">
        <f>RTD("modbusexcel.rtd",,$A17,$C$17,IF($E$4="n","D",$D17),N17,$AI17,$D$3,$B17)</f>
        <v>84</v>
      </c>
      <c r="AT17" s="26" t="str">
        <f>RTD("modbusexcel.rtd",,$A17,$C$17,IF($E$4="n","D",$D17),O17,$AI17,$D$3,$B17)</f>
        <v>87</v>
      </c>
      <c r="AU17" s="26" t="str">
        <f>RTD("modbusexcel.rtd",,$A17,$C$17,IF($E$4="n","D",$D17),P17,$AI17,$D$3,$B17)</f>
        <v>84</v>
      </c>
      <c r="AV17" s="26" t="str">
        <f>RTD("modbusexcel.rtd",,$A17,$C$17,IF($E$4="n","D",$D17),Q17,$AI17,$D$3,$B17)</f>
        <v>84</v>
      </c>
      <c r="AW17" s="26" t="str">
        <f>RTD("modbusexcel.rtd",,$A17,$C$17,IF($E$4="n","D",$D17),R17,$AI17,$D$3,$B17)</f>
        <v>84</v>
      </c>
      <c r="AX17" s="26" t="str">
        <f>RTD("modbusexcel.rtd",,$A17,$C$17,IF($E$4="n","D",$D17),S17,$AI17,$D$3,$B17)</f>
        <v>84</v>
      </c>
      <c r="AY17" s="26" t="str">
        <f>RTD("modbusexcel.rtd",,$A17,$C$17,IF($E$4="n","D",$D17),T17,$AI17,$D$3,$B17)</f>
        <v>84</v>
      </c>
      <c r="AZ17" s="26" t="str">
        <f>RTD("modbusexcel.rtd",,$A17,$C$17,IF($E$4="n","D",$D17),U17,$AI17,$D$3,$B17)</f>
        <v>87</v>
      </c>
      <c r="BA17" s="26" t="str">
        <f>RTD("modbusexcel.rtd",,$A17,$C$17,IF($E$4="n","D",$D17),V17,$AI17,$D$3,$B17)</f>
        <v>84</v>
      </c>
      <c r="BB17" s="26" t="str">
        <f>RTD("modbusexcel.rtd",,$A17,$C$17,IF($E$4="n","D",$D17),W17,$AI17,$D$3,$B17)</f>
        <v>87</v>
      </c>
      <c r="BC17" s="26" t="str">
        <f>RTD("modbusexcel.rtd",,$A17,$C$17,IF($E$4="n","D",$D17),X17,$AI17,$D$3,$B17)</f>
        <v>87</v>
      </c>
      <c r="BD17" s="26" t="str">
        <f>RTD("modbusexcel.rtd",,$A17,$C$17,IF($E$4="n","D",$D17),Y17,$AI17,$D$3,$B17)</f>
        <v>60</v>
      </c>
      <c r="BE17" s="26" t="str">
        <f>RTD("modbusexcel.rtd",,$A17,$C$17,IF($E$4="n","D",$D17),Z17,$AI17,$D$3,$B17)</f>
        <v>84</v>
      </c>
      <c r="BF17" s="26" t="str">
        <f>RTD("modbusexcel.rtd",,$A17,$C$17,IF($E$4="n","D",$D17),AA17,$AI17,$D$3,$B17)</f>
        <v>84</v>
      </c>
      <c r="BG17" s="26" t="str">
        <f>RTD("modbusexcel.rtd",,$A17,$C$17,IF($E$4="n","D",$D17),AB17,$AI17,$D$3,$B17)</f>
        <v>84</v>
      </c>
      <c r="BH17" s="26" t="str">
        <f>RTD("modbusexcel.rtd",,$A17,$C$17,IF($E$4="n","D",$D17),AC17,$AI17,$D$3,$B17)</f>
        <v>84</v>
      </c>
      <c r="BI17" s="26" t="str">
        <f>RTD("modbusexcel.rtd",,$A17,$C$17,IF($E$4="n","D",$D17),AD17,$AI17,$D$3,$B17)</f>
        <v>84</v>
      </c>
      <c r="BJ17" s="26" t="str">
        <f>RTD("modbusexcel.rtd",,$A17,$C$17,IF($E$4="n","D",$D17),AE17,$AI17,$D$3,$B17)</f>
        <v>84</v>
      </c>
      <c r="BK17" s="26" t="str">
        <f>RTD("modbusexcel.rtd",,$A17,$C$17,IF($E$4="n","D",$D17),AF17,$AI17,$D$3,$B17)</f>
        <v>84</v>
      </c>
      <c r="BL17" s="26" t="str">
        <f>RTD("modbusexcel.rtd",,$A17,$C$17,IF($E$4="n","D",$D17),AG17,$AI17,$D$3,$B17)</f>
        <v>60</v>
      </c>
      <c r="BM17" s="26" t="str">
        <f>RTD("modbusexcel.rtd",,$A17,$C$17,IF($E$4="n","D",$D17),AH17,$AI17,$D$3,$B17)</f>
        <v>60</v>
      </c>
    </row>
    <row r="18" spans="1:65" s="24" customFormat="1" ht="12" x14ac:dyDescent="0.2">
      <c r="A18" s="36"/>
      <c r="B18" s="36"/>
      <c r="C18" s="36"/>
      <c r="D18" s="36"/>
      <c r="E18" s="37">
        <f>E17+1</f>
        <v>40002</v>
      </c>
      <c r="F18" s="34">
        <f t="shared" si="0"/>
        <v>40034</v>
      </c>
      <c r="G18" s="34">
        <f t="shared" si="1"/>
        <v>40066</v>
      </c>
      <c r="H18" s="34">
        <f t="shared" si="2"/>
        <v>40098</v>
      </c>
      <c r="I18" s="34">
        <f t="shared" si="3"/>
        <v>40130</v>
      </c>
      <c r="J18" s="34">
        <f t="shared" si="4"/>
        <v>40162</v>
      </c>
      <c r="K18" s="34">
        <f t="shared" si="5"/>
        <v>40194</v>
      </c>
      <c r="L18" s="34">
        <f t="shared" si="6"/>
        <v>40226</v>
      </c>
      <c r="M18" s="34">
        <f t="shared" si="7"/>
        <v>40258</v>
      </c>
      <c r="N18" s="34">
        <f t="shared" si="8"/>
        <v>40290</v>
      </c>
      <c r="O18" s="34">
        <f t="shared" si="9"/>
        <v>40322</v>
      </c>
      <c r="P18" s="34">
        <f t="shared" si="10"/>
        <v>40354</v>
      </c>
      <c r="Q18" s="34">
        <f t="shared" si="11"/>
        <v>40386</v>
      </c>
      <c r="R18" s="34">
        <f t="shared" si="12"/>
        <v>40418</v>
      </c>
      <c r="S18" s="34">
        <f t="shared" si="13"/>
        <v>40450</v>
      </c>
      <c r="T18" s="34">
        <f t="shared" si="14"/>
        <v>40482</v>
      </c>
      <c r="U18" s="34">
        <f t="shared" si="15"/>
        <v>40514</v>
      </c>
      <c r="V18" s="34">
        <f t="shared" si="16"/>
        <v>40546</v>
      </c>
      <c r="W18" s="34">
        <f t="shared" si="17"/>
        <v>40578</v>
      </c>
      <c r="X18" s="34">
        <f t="shared" si="18"/>
        <v>40610</v>
      </c>
      <c r="Y18" s="34">
        <f t="shared" si="19"/>
        <v>40642</v>
      </c>
      <c r="Z18" s="34">
        <f t="shared" si="20"/>
        <v>40674</v>
      </c>
      <c r="AA18" s="34">
        <f t="shared" si="21"/>
        <v>40706</v>
      </c>
      <c r="AB18" s="34">
        <f t="shared" si="22"/>
        <v>40738</v>
      </c>
      <c r="AC18" s="34">
        <f t="shared" si="23"/>
        <v>40770</v>
      </c>
      <c r="AD18" s="34">
        <f t="shared" si="24"/>
        <v>40802</v>
      </c>
      <c r="AE18" s="34">
        <f t="shared" si="25"/>
        <v>40834</v>
      </c>
      <c r="AF18" s="34">
        <f t="shared" si="26"/>
        <v>40866</v>
      </c>
      <c r="AG18" s="34">
        <f t="shared" si="27"/>
        <v>40898</v>
      </c>
      <c r="AH18" s="34">
        <f t="shared" si="28"/>
        <v>40930</v>
      </c>
      <c r="AI18" s="35">
        <v>1</v>
      </c>
      <c r="AJ18" s="26" t="str">
        <f>RTD("modbusexcel.rtd",,$A$17,$C$17,IF($E$4="n","D",$D$17),E18,$AI18,$D$3,$B$17)</f>
        <v>84</v>
      </c>
      <c r="AK18" s="26" t="str">
        <f>RTD("modbusexcel.rtd",,$A$17,$C$17,IF($E$4="n","D",$D$17),F18,$AI18,$D$3,$B$17)</f>
        <v>84</v>
      </c>
      <c r="AL18" s="26" t="str">
        <f>RTD("modbusexcel.rtd",,$A$17,$C$17,IF($E$4="n","D",$D$17),G18,$AI18,$D$3,$B$17)</f>
        <v>84</v>
      </c>
      <c r="AM18" s="26" t="str">
        <f>RTD("modbusexcel.rtd",,$A$17,$C$17,IF($E$4="n","D",$D$17),H18,$AI18,$D$3,$B$17)</f>
        <v>60</v>
      </c>
      <c r="AN18" s="26" t="str">
        <f>RTD("modbusexcel.rtd",,$A$17,$C$17,IF($E$4="n","D",$D$17),I18,$AI18,$D$3,$B$17)</f>
        <v>84</v>
      </c>
      <c r="AO18" s="26" t="str">
        <f>RTD("modbusexcel.rtd",,$A$17,$C$17,IF($E$4="n","D",$D$17),J18,$AI18,$D$3,$B$17)</f>
        <v>84</v>
      </c>
      <c r="AP18" s="26" t="str">
        <f>RTD("modbusexcel.rtd",,$A$17,$C$17,IF($E$4="n","D",$D$17),K18,$AI18,$D$3,$B$17)</f>
        <v>87</v>
      </c>
      <c r="AQ18" s="26" t="str">
        <f>RTD("modbusexcel.rtd",,$A$17,$C$17,IF($E$4="n","D",$D$17),L18,$AI18,$D$3,$B$17)</f>
        <v>60</v>
      </c>
      <c r="AR18" s="26" t="str">
        <f>RTD("modbusexcel.rtd",,$A$17,$C$17,IF($E$4="n","D",$D$17),M18,$AI18,$D$3,$B$17)</f>
        <v>84</v>
      </c>
      <c r="AS18" s="26" t="str">
        <f>RTD("modbusexcel.rtd",,$A$17,$C$17,IF($E$4="n","D",$D$17),N18,$AI18,$D$3,$B$17)</f>
        <v>87</v>
      </c>
      <c r="AT18" s="26" t="str">
        <f>RTD("modbusexcel.rtd",,$A$17,$C$17,IF($E$4="n","D",$D$17),O18,$AI18,$D$3,$B$17)</f>
        <v>87</v>
      </c>
      <c r="AU18" s="26" t="str">
        <f>RTD("modbusexcel.rtd",,$A$17,$C$17,IF($E$4="n","D",$D$17),P18,$AI18,$D$3,$B$17)</f>
        <v>84</v>
      </c>
      <c r="AV18" s="26" t="str">
        <f>RTD("modbusexcel.rtd",,$A$17,$C$17,IF($E$4="n","D",$D$17),Q18,$AI18,$D$3,$B$17)</f>
        <v>84</v>
      </c>
      <c r="AW18" s="26" t="str">
        <f>RTD("modbusexcel.rtd",,$A$17,$C$17,IF($E$4="n","D",$D$17),R18,$AI18,$D$3,$B$17)</f>
        <v>84</v>
      </c>
      <c r="AX18" s="26" t="str">
        <f>RTD("modbusexcel.rtd",,$A$17,$C$17,IF($E$4="n","D",$D$17),S18,$AI18,$D$3,$B$17)</f>
        <v>84</v>
      </c>
      <c r="AY18" s="26" t="str">
        <f>RTD("modbusexcel.rtd",,$A$17,$C$17,IF($E$4="n","D",$D$17),T18,$AI18,$D$3,$B$17)</f>
        <v>84</v>
      </c>
      <c r="AZ18" s="26" t="str">
        <f>RTD("modbusexcel.rtd",,$A$17,$C$17,IF($E$4="n","D",$D$17),U18,$AI18,$D$3,$B$17)</f>
        <v>60</v>
      </c>
      <c r="BA18" s="26" t="str">
        <f>RTD("modbusexcel.rtd",,$A$17,$C$17,IF($E$4="n","D",$D$17),V18,$AI18,$D$3,$B$17)</f>
        <v>84</v>
      </c>
      <c r="BB18" s="26" t="str">
        <f>RTD("modbusexcel.rtd",,$A$17,$C$17,IF($E$4="n","D",$D$17),W18,$AI18,$D$3,$B$17)</f>
        <v>87</v>
      </c>
      <c r="BC18" s="26" t="str">
        <f>RTD("modbusexcel.rtd",,$A$17,$C$17,IF($E$4="n","D",$D$17),X18,$AI18,$D$3,$B$17)</f>
        <v>87</v>
      </c>
      <c r="BD18" s="26" t="str">
        <f>RTD("modbusexcel.rtd",,$A$17,$C$17,IF($E$4="n","D",$D$17),Y18,$AI18,$D$3,$B$17)</f>
        <v>84</v>
      </c>
      <c r="BE18" s="26" t="str">
        <f>RTD("modbusexcel.rtd",,$A$17,$C$17,IF($E$4="n","D",$D$17),Z18,$AI18,$D$3,$B$17)</f>
        <v>84</v>
      </c>
      <c r="BF18" s="26" t="str">
        <f>RTD("modbusexcel.rtd",,$A$17,$C$17,IF($E$4="n","D",$D$17),AA18,$AI18,$D$3,$B$17)</f>
        <v>84</v>
      </c>
      <c r="BG18" s="26" t="str">
        <f>RTD("modbusexcel.rtd",,$A$17,$C$17,IF($E$4="n","D",$D$17),AB18,$AI18,$D$3,$B$17)</f>
        <v>84</v>
      </c>
      <c r="BH18" s="26" t="str">
        <f>RTD("modbusexcel.rtd",,$A$17,$C$17,IF($E$4="n","D",$D$17),AC18,$AI18,$D$3,$B$17)</f>
        <v>84</v>
      </c>
      <c r="BI18" s="26" t="str">
        <f>RTD("modbusexcel.rtd",,$A$17,$C$17,IF($E$4="n","D",$D$17),AD18,$AI18,$D$3,$B$17)</f>
        <v>84</v>
      </c>
      <c r="BJ18" s="26" t="str">
        <f>RTD("modbusexcel.rtd",,$A$17,$C$17,IF($E$4="n","D",$D$17),AE18,$AI18,$D$3,$B$17)</f>
        <v>84</v>
      </c>
      <c r="BK18" s="26" t="str">
        <f>RTD("modbusexcel.rtd",,$A$17,$C$17,IF($E$4="n","D",$D$17),AF18,$AI18,$D$3,$B$17)</f>
        <v>84</v>
      </c>
      <c r="BL18" s="26" t="str">
        <f>RTD("modbusexcel.rtd",,$A$17,$C$17,IF($E$4="n","D",$D$17),AG18,$AI18,$D$3,$B$17)</f>
        <v>60</v>
      </c>
      <c r="BM18" s="26" t="str">
        <f>RTD("modbusexcel.rtd",,$A$17,$C$17,IF($E$4="n","D",$D$17),AH18,$AI18,$D$3,$B$17)</f>
        <v>84</v>
      </c>
    </row>
    <row r="19" spans="1:65" s="24" customFormat="1" ht="12" x14ac:dyDescent="0.2">
      <c r="E19" s="37">
        <f t="shared" ref="E19:E47" si="29">E18+1</f>
        <v>40003</v>
      </c>
      <c r="F19" s="34">
        <f t="shared" si="0"/>
        <v>40035</v>
      </c>
      <c r="G19" s="34">
        <f t="shared" si="1"/>
        <v>40067</v>
      </c>
      <c r="H19" s="34">
        <f t="shared" si="2"/>
        <v>40099</v>
      </c>
      <c r="I19" s="34">
        <f t="shared" si="3"/>
        <v>40131</v>
      </c>
      <c r="J19" s="34">
        <f t="shared" si="4"/>
        <v>40163</v>
      </c>
      <c r="K19" s="34">
        <f t="shared" si="5"/>
        <v>40195</v>
      </c>
      <c r="L19" s="34">
        <f t="shared" si="6"/>
        <v>40227</v>
      </c>
      <c r="M19" s="34">
        <f t="shared" si="7"/>
        <v>40259</v>
      </c>
      <c r="N19" s="34">
        <f t="shared" si="8"/>
        <v>40291</v>
      </c>
      <c r="O19" s="34">
        <f t="shared" si="9"/>
        <v>40323</v>
      </c>
      <c r="P19" s="34">
        <f t="shared" si="10"/>
        <v>40355</v>
      </c>
      <c r="Q19" s="34">
        <f t="shared" si="11"/>
        <v>40387</v>
      </c>
      <c r="R19" s="34">
        <f t="shared" si="12"/>
        <v>40419</v>
      </c>
      <c r="S19" s="34">
        <f t="shared" si="13"/>
        <v>40451</v>
      </c>
      <c r="T19" s="34">
        <f t="shared" si="14"/>
        <v>40483</v>
      </c>
      <c r="U19" s="34">
        <f t="shared" si="15"/>
        <v>40515</v>
      </c>
      <c r="V19" s="34">
        <f t="shared" si="16"/>
        <v>40547</v>
      </c>
      <c r="W19" s="34">
        <f t="shared" si="17"/>
        <v>40579</v>
      </c>
      <c r="X19" s="34">
        <f t="shared" si="18"/>
        <v>40611</v>
      </c>
      <c r="Y19" s="34">
        <f t="shared" si="19"/>
        <v>40643</v>
      </c>
      <c r="Z19" s="34">
        <f t="shared" si="20"/>
        <v>40675</v>
      </c>
      <c r="AA19" s="34">
        <f t="shared" si="21"/>
        <v>40707</v>
      </c>
      <c r="AB19" s="34">
        <f t="shared" si="22"/>
        <v>40739</v>
      </c>
      <c r="AC19" s="34">
        <f t="shared" si="23"/>
        <v>40771</v>
      </c>
      <c r="AD19" s="34">
        <f t="shared" si="24"/>
        <v>40803</v>
      </c>
      <c r="AE19" s="34">
        <f t="shared" si="25"/>
        <v>40835</v>
      </c>
      <c r="AF19" s="34">
        <f t="shared" si="26"/>
        <v>40867</v>
      </c>
      <c r="AG19" s="34">
        <f t="shared" si="27"/>
        <v>40899</v>
      </c>
      <c r="AH19" s="34">
        <f t="shared" si="28"/>
        <v>40931</v>
      </c>
      <c r="AI19" s="35">
        <v>1</v>
      </c>
      <c r="AJ19" s="26" t="str">
        <f>RTD("modbusexcel.rtd",,$A$17,$C$17,IF($E$4="n","D",$D$17),E19,$AI19,$D$3,$B$17)</f>
        <v>84</v>
      </c>
      <c r="AK19" s="26" t="str">
        <f>RTD("modbusexcel.rtd",,$A$17,$C$17,IF($E$4="n","D",$D$17),F19,$AI19,$D$3,$B$17)</f>
        <v>84</v>
      </c>
      <c r="AL19" s="26" t="str">
        <f>RTD("modbusexcel.rtd",,$A$17,$C$17,IF($E$4="n","D",$D$17),G19,$AI19,$D$3,$B$17)</f>
        <v>84</v>
      </c>
      <c r="AM19" s="26" t="str">
        <f>RTD("modbusexcel.rtd",,$A$17,$C$17,IF($E$4="n","D",$D$17),H19,$AI19,$D$3,$B$17)</f>
        <v>60</v>
      </c>
      <c r="AN19" s="26" t="str">
        <f>RTD("modbusexcel.rtd",,$A$17,$C$17,IF($E$4="n","D",$D$17),I19,$AI19,$D$3,$B$17)</f>
        <v>84</v>
      </c>
      <c r="AO19" s="26" t="str">
        <f>RTD("modbusexcel.rtd",,$A$17,$C$17,IF($E$4="n","D",$D$17),J19,$AI19,$D$3,$B$17)</f>
        <v>84</v>
      </c>
      <c r="AP19" s="26" t="str">
        <f>RTD("modbusexcel.rtd",,$A$17,$C$17,IF($E$4="n","D",$D$17),K19,$AI19,$D$3,$B$17)</f>
        <v>87</v>
      </c>
      <c r="AQ19" s="26" t="str">
        <f>RTD("modbusexcel.rtd",,$A$17,$C$17,IF($E$4="n","D",$D$17),L19,$AI19,$D$3,$B$17)</f>
        <v>60</v>
      </c>
      <c r="AR19" s="26" t="str">
        <f>RTD("modbusexcel.rtd",,$A$17,$C$17,IF($E$4="n","D",$D$17),M19,$AI19,$D$3,$B$17)</f>
        <v>84</v>
      </c>
      <c r="AS19" s="26" t="str">
        <f>RTD("modbusexcel.rtd",,$A$17,$C$17,IF($E$4="n","D",$D$17),N19,$AI19,$D$3,$B$17)</f>
        <v>87</v>
      </c>
      <c r="AT19" s="26" t="str">
        <f>RTD("modbusexcel.rtd",,$A$17,$C$17,IF($E$4="n","D",$D$17),O19,$AI19,$D$3,$B$17)</f>
        <v>87</v>
      </c>
      <c r="AU19" s="26" t="str">
        <f>RTD("modbusexcel.rtd",,$A$17,$C$17,IF($E$4="n","D",$D$17),P19,$AI19,$D$3,$B$17)</f>
        <v>84</v>
      </c>
      <c r="AV19" s="26" t="str">
        <f>RTD("modbusexcel.rtd",,$A$17,$C$17,IF($E$4="n","D",$D$17),Q19,$AI19,$D$3,$B$17)</f>
        <v>84</v>
      </c>
      <c r="AW19" s="26" t="str">
        <f>RTD("modbusexcel.rtd",,$A$17,$C$17,IF($E$4="n","D",$D$17),R19,$AI19,$D$3,$B$17)</f>
        <v>84</v>
      </c>
      <c r="AX19" s="26" t="str">
        <f>RTD("modbusexcel.rtd",,$A$17,$C$17,IF($E$4="n","D",$D$17),S19,$AI19,$D$3,$B$17)</f>
        <v>84</v>
      </c>
      <c r="AY19" s="26" t="str">
        <f>RTD("modbusexcel.rtd",,$A$17,$C$17,IF($E$4="n","D",$D$17),T19,$AI19,$D$3,$B$17)</f>
        <v>84</v>
      </c>
      <c r="AZ19" s="26" t="str">
        <f>RTD("modbusexcel.rtd",,$A$17,$C$17,IF($E$4="n","D",$D$17),U19,$AI19,$D$3,$B$17)</f>
        <v>60</v>
      </c>
      <c r="BA19" s="26" t="str">
        <f>RTD("modbusexcel.rtd",,$A$17,$C$17,IF($E$4="n","D",$D$17),V19,$AI19,$D$3,$B$17)</f>
        <v>84</v>
      </c>
      <c r="BB19" s="26" t="str">
        <f>RTD("modbusexcel.rtd",,$A$17,$C$17,IF($E$4="n","D",$D$17),W19,$AI19,$D$3,$B$17)</f>
        <v>87</v>
      </c>
      <c r="BC19" s="26" t="str">
        <f>RTD("modbusexcel.rtd",,$A$17,$C$17,IF($E$4="n","D",$D$17),X19,$AI19,$D$3,$B$17)</f>
        <v>87</v>
      </c>
      <c r="BD19" s="26" t="str">
        <f>RTD("modbusexcel.rtd",,$A$17,$C$17,IF($E$4="n","D",$D$17),Y19,$AI19,$D$3,$B$17)</f>
        <v>60</v>
      </c>
      <c r="BE19" s="26" t="str">
        <f>RTD("modbusexcel.rtd",,$A$17,$C$17,IF($E$4="n","D",$D$17),Z19,$AI19,$D$3,$B$17)</f>
        <v>84</v>
      </c>
      <c r="BF19" s="26" t="str">
        <f>RTD("modbusexcel.rtd",,$A$17,$C$17,IF($E$4="n","D",$D$17),AA19,$AI19,$D$3,$B$17)</f>
        <v>84</v>
      </c>
      <c r="BG19" s="26" t="str">
        <f>RTD("modbusexcel.rtd",,$A$17,$C$17,IF($E$4="n","D",$D$17),AB19,$AI19,$D$3,$B$17)</f>
        <v>84</v>
      </c>
      <c r="BH19" s="26" t="str">
        <f>RTD("modbusexcel.rtd",,$A$17,$C$17,IF($E$4="n","D",$D$17),AC19,$AI19,$D$3,$B$17)</f>
        <v>84</v>
      </c>
      <c r="BI19" s="26" t="str">
        <f>RTD("modbusexcel.rtd",,$A$17,$C$17,IF($E$4="n","D",$D$17),AD19,$AI19,$D$3,$B$17)</f>
        <v>84</v>
      </c>
      <c r="BJ19" s="26" t="str">
        <f>RTD("modbusexcel.rtd",,$A$17,$C$17,IF($E$4="n","D",$D$17),AE19,$AI19,$D$3,$B$17)</f>
        <v>84</v>
      </c>
      <c r="BK19" s="26" t="str">
        <f>RTD("modbusexcel.rtd",,$A$17,$C$17,IF($E$4="n","D",$D$17),AF19,$AI19,$D$3,$B$17)</f>
        <v>84</v>
      </c>
      <c r="BL19" s="26" t="str">
        <f>RTD("modbusexcel.rtd",,$A$17,$C$17,IF($E$4="n","D",$D$17),AG19,$AI19,$D$3,$B$17)</f>
        <v>60</v>
      </c>
      <c r="BM19" s="26" t="str">
        <f>RTD("modbusexcel.rtd",,$A$17,$C$17,IF($E$4="n","D",$D$17),AH19,$AI19,$D$3,$B$17)</f>
        <v>84</v>
      </c>
    </row>
    <row r="20" spans="1:65" s="24" customFormat="1" ht="12" x14ac:dyDescent="0.2">
      <c r="E20" s="37">
        <f t="shared" si="29"/>
        <v>40004</v>
      </c>
      <c r="F20" s="34">
        <f t="shared" si="0"/>
        <v>40036</v>
      </c>
      <c r="G20" s="34">
        <f t="shared" si="1"/>
        <v>40068</v>
      </c>
      <c r="H20" s="34">
        <f t="shared" si="2"/>
        <v>40100</v>
      </c>
      <c r="I20" s="34">
        <f t="shared" si="3"/>
        <v>40132</v>
      </c>
      <c r="J20" s="34">
        <f t="shared" si="4"/>
        <v>40164</v>
      </c>
      <c r="K20" s="34">
        <f t="shared" si="5"/>
        <v>40196</v>
      </c>
      <c r="L20" s="34">
        <f t="shared" si="6"/>
        <v>40228</v>
      </c>
      <c r="M20" s="34">
        <f t="shared" si="7"/>
        <v>40260</v>
      </c>
      <c r="N20" s="34">
        <f t="shared" si="8"/>
        <v>40292</v>
      </c>
      <c r="O20" s="34">
        <f t="shared" si="9"/>
        <v>40324</v>
      </c>
      <c r="P20" s="34">
        <f t="shared" si="10"/>
        <v>40356</v>
      </c>
      <c r="Q20" s="34">
        <f t="shared" si="11"/>
        <v>40388</v>
      </c>
      <c r="R20" s="34">
        <f t="shared" si="12"/>
        <v>40420</v>
      </c>
      <c r="S20" s="34">
        <f t="shared" si="13"/>
        <v>40452</v>
      </c>
      <c r="T20" s="34">
        <f t="shared" si="14"/>
        <v>40484</v>
      </c>
      <c r="U20" s="34">
        <f t="shared" si="15"/>
        <v>40516</v>
      </c>
      <c r="V20" s="34">
        <f t="shared" si="16"/>
        <v>40548</v>
      </c>
      <c r="W20" s="34">
        <f t="shared" si="17"/>
        <v>40580</v>
      </c>
      <c r="X20" s="34">
        <f t="shared" si="18"/>
        <v>40612</v>
      </c>
      <c r="Y20" s="34">
        <f t="shared" si="19"/>
        <v>40644</v>
      </c>
      <c r="Z20" s="34">
        <f t="shared" si="20"/>
        <v>40676</v>
      </c>
      <c r="AA20" s="34">
        <f t="shared" si="21"/>
        <v>40708</v>
      </c>
      <c r="AB20" s="34">
        <f t="shared" si="22"/>
        <v>40740</v>
      </c>
      <c r="AC20" s="34">
        <f t="shared" si="23"/>
        <v>40772</v>
      </c>
      <c r="AD20" s="34">
        <f t="shared" si="24"/>
        <v>40804</v>
      </c>
      <c r="AE20" s="34">
        <f t="shared" si="25"/>
        <v>40836</v>
      </c>
      <c r="AF20" s="34">
        <f t="shared" si="26"/>
        <v>40868</v>
      </c>
      <c r="AG20" s="34">
        <f t="shared" si="27"/>
        <v>40900</v>
      </c>
      <c r="AH20" s="34">
        <f t="shared" si="28"/>
        <v>40932</v>
      </c>
      <c r="AI20" s="35">
        <v>1</v>
      </c>
      <c r="AJ20" s="26" t="str">
        <f>RTD("modbusexcel.rtd",,$A$17,$C$17,IF($E$4="n","D",$D$17),E20,$AI20,$D$3,$B$17)</f>
        <v>84</v>
      </c>
      <c r="AK20" s="26" t="str">
        <f>RTD("modbusexcel.rtd",,$A$17,$C$17,IF($E$4="n","D",$D$17),F20,$AI20,$D$3,$B$17)</f>
        <v>84</v>
      </c>
      <c r="AL20" s="26" t="str">
        <f>RTD("modbusexcel.rtd",,$A$17,$C$17,IF($E$4="n","D",$D$17),G20,$AI20,$D$3,$B$17)</f>
        <v>84</v>
      </c>
      <c r="AM20" s="26" t="str">
        <f>RTD("modbusexcel.rtd",,$A$17,$C$17,IF($E$4="n","D",$D$17),H20,$AI20,$D$3,$B$17)</f>
        <v>84</v>
      </c>
      <c r="AN20" s="26" t="str">
        <f>RTD("modbusexcel.rtd",,$A$17,$C$17,IF($E$4="n","D",$D$17),I20,$AI20,$D$3,$B$17)</f>
        <v>84</v>
      </c>
      <c r="AO20" s="26" t="str">
        <f>RTD("modbusexcel.rtd",,$A$17,$C$17,IF($E$4="n","D",$D$17),J20,$AI20,$D$3,$B$17)</f>
        <v>84</v>
      </c>
      <c r="AP20" s="26" t="str">
        <f>RTD("modbusexcel.rtd",,$A$17,$C$17,IF($E$4="n","D",$D$17),K20,$AI20,$D$3,$B$17)</f>
        <v>60</v>
      </c>
      <c r="AQ20" s="26" t="str">
        <f>RTD("modbusexcel.rtd",,$A$17,$C$17,IF($E$4="n","D",$D$17),L20,$AI20,$D$3,$B$17)</f>
        <v>84</v>
      </c>
      <c r="AR20" s="26" t="str">
        <f>RTD("modbusexcel.rtd",,$A$17,$C$17,IF($E$4="n","D",$D$17),M20,$AI20,$D$3,$B$17)</f>
        <v>84</v>
      </c>
      <c r="AS20" s="26" t="str">
        <f>RTD("modbusexcel.rtd",,$A$17,$C$17,IF($E$4="n","D",$D$17),N20,$AI20,$D$3,$B$17)</f>
        <v>87</v>
      </c>
      <c r="AT20" s="26" t="str">
        <f>RTD("modbusexcel.rtd",,$A$17,$C$17,IF($E$4="n","D",$D$17),O20,$AI20,$D$3,$B$17)</f>
        <v>87</v>
      </c>
      <c r="AU20" s="26" t="str">
        <f>RTD("modbusexcel.rtd",,$A$17,$C$17,IF($E$4="n","D",$D$17),P20,$AI20,$D$3,$B$17)</f>
        <v>84</v>
      </c>
      <c r="AV20" s="26" t="str">
        <f>RTD("modbusexcel.rtd",,$A$17,$C$17,IF($E$4="n","D",$D$17),Q20,$AI20,$D$3,$B$17)</f>
        <v>84</v>
      </c>
      <c r="AW20" s="26" t="str">
        <f>RTD("modbusexcel.rtd",,$A$17,$C$17,IF($E$4="n","D",$D$17),R20,$AI20,$D$3,$B$17)</f>
        <v>87</v>
      </c>
      <c r="AX20" s="26" t="str">
        <f>RTD("modbusexcel.rtd",,$A$17,$C$17,IF($E$4="n","D",$D$17),S20,$AI20,$D$3,$B$17)</f>
        <v>84</v>
      </c>
      <c r="AY20" s="26" t="str">
        <f>RTD("modbusexcel.rtd",,$A$17,$C$17,IF($E$4="n","D",$D$17),T20,$AI20,$D$3,$B$17)</f>
        <v>84</v>
      </c>
      <c r="AZ20" s="26" t="str">
        <f>RTD("modbusexcel.rtd",,$A$17,$C$17,IF($E$4="n","D",$D$17),U20,$AI20,$D$3,$B$17)</f>
        <v>84</v>
      </c>
      <c r="BA20" s="26" t="str">
        <f>RTD("modbusexcel.rtd",,$A$17,$C$17,IF($E$4="n","D",$D$17),V20,$AI20,$D$3,$B$17)</f>
        <v>84</v>
      </c>
      <c r="BB20" s="26" t="str">
        <f>RTD("modbusexcel.rtd",,$A$17,$C$17,IF($E$4="n","D",$D$17),W20,$AI20,$D$3,$B$17)</f>
        <v>84</v>
      </c>
      <c r="BC20" s="26" t="str">
        <f>RTD("modbusexcel.rtd",,$A$17,$C$17,IF($E$4="n","D",$D$17),X20,$AI20,$D$3,$B$17)</f>
        <v>60</v>
      </c>
      <c r="BD20" s="26" t="str">
        <f>RTD("modbusexcel.rtd",,$A$17,$C$17,IF($E$4="n","D",$D$17),Y20,$AI20,$D$3,$B$17)</f>
        <v>84</v>
      </c>
      <c r="BE20" s="26" t="str">
        <f>RTD("modbusexcel.rtd",,$A$17,$C$17,IF($E$4="n","D",$D$17),Z20,$AI20,$D$3,$B$17)</f>
        <v>87</v>
      </c>
      <c r="BF20" s="26" t="str">
        <f>RTD("modbusexcel.rtd",,$A$17,$C$17,IF($E$4="n","D",$D$17),AA20,$AI20,$D$3,$B$17)</f>
        <v>87</v>
      </c>
      <c r="BG20" s="26" t="str">
        <f>RTD("modbusexcel.rtd",,$A$17,$C$17,IF($E$4="n","D",$D$17),AB20,$AI20,$D$3,$B$17)</f>
        <v>60</v>
      </c>
      <c r="BH20" s="26" t="str">
        <f>RTD("modbusexcel.rtd",,$A$17,$C$17,IF($E$4="n","D",$D$17),AC20,$AI20,$D$3,$B$17)</f>
        <v>84</v>
      </c>
      <c r="BI20" s="26" t="str">
        <f>RTD("modbusexcel.rtd",,$A$17,$C$17,IF($E$4="n","D",$D$17),AD20,$AI20,$D$3,$B$17)</f>
        <v>84</v>
      </c>
      <c r="BJ20" s="26" t="str">
        <f>RTD("modbusexcel.rtd",,$A$17,$C$17,IF($E$4="n","D",$D$17),AE20,$AI20,$D$3,$B$17)</f>
        <v>84</v>
      </c>
      <c r="BK20" s="26" t="str">
        <f>RTD("modbusexcel.rtd",,$A$17,$C$17,IF($E$4="n","D",$D$17),AF20,$AI20,$D$3,$B$17)</f>
        <v>84</v>
      </c>
      <c r="BL20" s="26" t="str">
        <f>RTD("modbusexcel.rtd",,$A$17,$C$17,IF($E$4="n","D",$D$17),AG20,$AI20,$D$3,$B$17)</f>
        <v>84</v>
      </c>
      <c r="BM20" s="26" t="str">
        <f>RTD("modbusexcel.rtd",,$A$17,$C$17,IF($E$4="n","D",$D$17),AH20,$AI20,$D$3,$B$17)</f>
        <v>84</v>
      </c>
    </row>
    <row r="21" spans="1:65" s="24" customFormat="1" ht="12" x14ac:dyDescent="0.2">
      <c r="E21" s="37">
        <f t="shared" si="29"/>
        <v>40005</v>
      </c>
      <c r="F21" s="34">
        <f t="shared" si="0"/>
        <v>40037</v>
      </c>
      <c r="G21" s="34">
        <f t="shared" si="1"/>
        <v>40069</v>
      </c>
      <c r="H21" s="34">
        <f t="shared" si="2"/>
        <v>40101</v>
      </c>
      <c r="I21" s="34">
        <f t="shared" si="3"/>
        <v>40133</v>
      </c>
      <c r="J21" s="34">
        <f t="shared" si="4"/>
        <v>40165</v>
      </c>
      <c r="K21" s="34">
        <f t="shared" si="5"/>
        <v>40197</v>
      </c>
      <c r="L21" s="34">
        <f t="shared" si="6"/>
        <v>40229</v>
      </c>
      <c r="M21" s="34">
        <f t="shared" si="7"/>
        <v>40261</v>
      </c>
      <c r="N21" s="34">
        <f t="shared" si="8"/>
        <v>40293</v>
      </c>
      <c r="O21" s="34">
        <f t="shared" si="9"/>
        <v>40325</v>
      </c>
      <c r="P21" s="34">
        <f t="shared" si="10"/>
        <v>40357</v>
      </c>
      <c r="Q21" s="34">
        <f t="shared" si="11"/>
        <v>40389</v>
      </c>
      <c r="R21" s="34">
        <f t="shared" si="12"/>
        <v>40421</v>
      </c>
      <c r="S21" s="34">
        <f t="shared" si="13"/>
        <v>40453</v>
      </c>
      <c r="T21" s="34">
        <f t="shared" si="14"/>
        <v>40485</v>
      </c>
      <c r="U21" s="34">
        <f t="shared" si="15"/>
        <v>40517</v>
      </c>
      <c r="V21" s="34">
        <f t="shared" si="16"/>
        <v>40549</v>
      </c>
      <c r="W21" s="34">
        <f t="shared" si="17"/>
        <v>40581</v>
      </c>
      <c r="X21" s="34">
        <f t="shared" si="18"/>
        <v>40613</v>
      </c>
      <c r="Y21" s="34">
        <f t="shared" si="19"/>
        <v>40645</v>
      </c>
      <c r="Z21" s="34">
        <f t="shared" si="20"/>
        <v>40677</v>
      </c>
      <c r="AA21" s="34">
        <f t="shared" si="21"/>
        <v>40709</v>
      </c>
      <c r="AB21" s="34">
        <f t="shared" si="22"/>
        <v>40741</v>
      </c>
      <c r="AC21" s="34">
        <f t="shared" si="23"/>
        <v>40773</v>
      </c>
      <c r="AD21" s="34">
        <f t="shared" si="24"/>
        <v>40805</v>
      </c>
      <c r="AE21" s="34">
        <f t="shared" si="25"/>
        <v>40837</v>
      </c>
      <c r="AF21" s="34">
        <f t="shared" si="26"/>
        <v>40869</v>
      </c>
      <c r="AG21" s="34">
        <f t="shared" si="27"/>
        <v>40901</v>
      </c>
      <c r="AH21" s="34">
        <f t="shared" si="28"/>
        <v>40933</v>
      </c>
      <c r="AI21" s="35">
        <v>1</v>
      </c>
      <c r="AJ21" s="26" t="str">
        <f>RTD("modbusexcel.rtd",,$A$17,$C$17,IF($E$4="n","D",$D$17),E21,$AI21,$D$3,$B$17)</f>
        <v>84</v>
      </c>
      <c r="AK21" s="26" t="str">
        <f>RTD("modbusexcel.rtd",,$A$17,$C$17,IF($E$4="n","D",$D$17),F21,$AI21,$D$3,$B$17)</f>
        <v>84</v>
      </c>
      <c r="AL21" s="26" t="str">
        <f>RTD("modbusexcel.rtd",,$A$17,$C$17,IF($E$4="n","D",$D$17),G21,$AI21,$D$3,$B$17)</f>
        <v>84</v>
      </c>
      <c r="AM21" s="26" t="str">
        <f>RTD("modbusexcel.rtd",,$A$17,$C$17,IF($E$4="n","D",$D$17),H21,$AI21,$D$3,$B$17)</f>
        <v>84</v>
      </c>
      <c r="AN21" s="26" t="str">
        <f>RTD("modbusexcel.rtd",,$A$17,$C$17,IF($E$4="n","D",$D$17),I21,$AI21,$D$3,$B$17)</f>
        <v>84</v>
      </c>
      <c r="AO21" s="26" t="str">
        <f>RTD("modbusexcel.rtd",,$A$17,$C$17,IF($E$4="n","D",$D$17),J21,$AI21,$D$3,$B$17)</f>
        <v>84</v>
      </c>
      <c r="AP21" s="26" t="str">
        <f>RTD("modbusexcel.rtd",,$A$17,$C$17,IF($E$4="n","D",$D$17),K21,$AI21,$D$3,$B$17)</f>
        <v>60</v>
      </c>
      <c r="AQ21" s="26" t="str">
        <f>RTD("modbusexcel.rtd",,$A$17,$C$17,IF($E$4="n","D",$D$17),L21,$AI21,$D$3,$B$17)</f>
        <v>60</v>
      </c>
      <c r="AR21" s="26" t="str">
        <f>RTD("modbusexcel.rtd",,$A$17,$C$17,IF($E$4="n","D",$D$17),M21,$AI21,$D$3,$B$17)</f>
        <v>84</v>
      </c>
      <c r="AS21" s="26" t="str">
        <f>RTD("modbusexcel.rtd",,$A$17,$C$17,IF($E$4="n","D",$D$17),N21,$AI21,$D$3,$B$17)</f>
        <v>87</v>
      </c>
      <c r="AT21" s="26" t="str">
        <f>RTD("modbusexcel.rtd",,$A$17,$C$17,IF($E$4="n","D",$D$17),O21,$AI21,$D$3,$B$17)</f>
        <v>87</v>
      </c>
      <c r="AU21" s="26" t="str">
        <f>RTD("modbusexcel.rtd",,$A$17,$C$17,IF($E$4="n","D",$D$17),P21,$AI21,$D$3,$B$17)</f>
        <v>84</v>
      </c>
      <c r="AV21" s="26" t="str">
        <f>RTD("modbusexcel.rtd",,$A$17,$C$17,IF($E$4="n","D",$D$17),Q21,$AI21,$D$3,$B$17)</f>
        <v>84</v>
      </c>
      <c r="AW21" s="26" t="str">
        <f>RTD("modbusexcel.rtd",,$A$17,$C$17,IF($E$4="n","D",$D$17),R21,$AI21,$D$3,$B$17)</f>
        <v>87</v>
      </c>
      <c r="AX21" s="26" t="str">
        <f>RTD("modbusexcel.rtd",,$A$17,$C$17,IF($E$4="n","D",$D$17),S21,$AI21,$D$3,$B$17)</f>
        <v>84</v>
      </c>
      <c r="AY21" s="26" t="str">
        <f>RTD("modbusexcel.rtd",,$A$17,$C$17,IF($E$4="n","D",$D$17),T21,$AI21,$D$3,$B$17)</f>
        <v>84</v>
      </c>
      <c r="AZ21" s="26" t="str">
        <f>RTD("modbusexcel.rtd",,$A$17,$C$17,IF($E$4="n","D",$D$17),U21,$AI21,$D$3,$B$17)</f>
        <v>84</v>
      </c>
      <c r="BA21" s="26" t="str">
        <f>RTD("modbusexcel.rtd",,$A$17,$C$17,IF($E$4="n","D",$D$17),V21,$AI21,$D$3,$B$17)</f>
        <v>84</v>
      </c>
      <c r="BB21" s="26" t="str">
        <f>RTD("modbusexcel.rtd",,$A$17,$C$17,IF($E$4="n","D",$D$17),W21,$AI21,$D$3,$B$17)</f>
        <v>84</v>
      </c>
      <c r="BC21" s="26" t="str">
        <f>RTD("modbusexcel.rtd",,$A$17,$C$17,IF($E$4="n","D",$D$17),X21,$AI21,$D$3,$B$17)</f>
        <v>87</v>
      </c>
      <c r="BD21" s="26" t="str">
        <f>RTD("modbusexcel.rtd",,$A$17,$C$17,IF($E$4="n","D",$D$17),Y21,$AI21,$D$3,$B$17)</f>
        <v>84</v>
      </c>
      <c r="BE21" s="26" t="str">
        <f>RTD("modbusexcel.rtd",,$A$17,$C$17,IF($E$4="n","D",$D$17),Z21,$AI21,$D$3,$B$17)</f>
        <v>87</v>
      </c>
      <c r="BF21" s="26" t="str">
        <f>RTD("modbusexcel.rtd",,$A$17,$C$17,IF($E$4="n","D",$D$17),AA21,$AI21,$D$3,$B$17)</f>
        <v>87</v>
      </c>
      <c r="BG21" s="26" t="str">
        <f>RTD("modbusexcel.rtd",,$A$17,$C$17,IF($E$4="n","D",$D$17),AB21,$AI21,$D$3,$B$17)</f>
        <v>60</v>
      </c>
      <c r="BH21" s="26" t="str">
        <f>RTD("modbusexcel.rtd",,$A$17,$C$17,IF($E$4="n","D",$D$17),AC21,$AI21,$D$3,$B$17)</f>
        <v>84</v>
      </c>
      <c r="BI21" s="26" t="str">
        <f>RTD("modbusexcel.rtd",,$A$17,$C$17,IF($E$4="n","D",$D$17),AD21,$AI21,$D$3,$B$17)</f>
        <v>84</v>
      </c>
      <c r="BJ21" s="26" t="str">
        <f>RTD("modbusexcel.rtd",,$A$17,$C$17,IF($E$4="n","D",$D$17),AE21,$AI21,$D$3,$B$17)</f>
        <v>84</v>
      </c>
      <c r="BK21" s="26" t="str">
        <f>RTD("modbusexcel.rtd",,$A$17,$C$17,IF($E$4="n","D",$D$17),AF21,$AI21,$D$3,$B$17)</f>
        <v>84</v>
      </c>
      <c r="BL21" s="26" t="str">
        <f>RTD("modbusexcel.rtd",,$A$17,$C$17,IF($E$4="n","D",$D$17),AG21,$AI21,$D$3,$B$17)</f>
        <v>84</v>
      </c>
      <c r="BM21" s="26" t="str">
        <f>RTD("modbusexcel.rtd",,$A$17,$C$17,IF($E$4="n","D",$D$17),AH21,$AI21,$D$3,$B$17)</f>
        <v>84</v>
      </c>
    </row>
    <row r="22" spans="1:65" s="24" customFormat="1" ht="12" x14ac:dyDescent="0.2">
      <c r="E22" s="37">
        <f t="shared" si="29"/>
        <v>40006</v>
      </c>
      <c r="F22" s="34">
        <f t="shared" si="0"/>
        <v>40038</v>
      </c>
      <c r="G22" s="34">
        <f t="shared" si="1"/>
        <v>40070</v>
      </c>
      <c r="H22" s="34">
        <f t="shared" si="2"/>
        <v>40102</v>
      </c>
      <c r="I22" s="34">
        <f t="shared" si="3"/>
        <v>40134</v>
      </c>
      <c r="J22" s="34">
        <f t="shared" si="4"/>
        <v>40166</v>
      </c>
      <c r="K22" s="34">
        <f t="shared" si="5"/>
        <v>40198</v>
      </c>
      <c r="L22" s="34">
        <f t="shared" si="6"/>
        <v>40230</v>
      </c>
      <c r="M22" s="34">
        <f t="shared" si="7"/>
        <v>40262</v>
      </c>
      <c r="N22" s="34">
        <f t="shared" si="8"/>
        <v>40294</v>
      </c>
      <c r="O22" s="34">
        <f t="shared" si="9"/>
        <v>40326</v>
      </c>
      <c r="P22" s="34">
        <f t="shared" si="10"/>
        <v>40358</v>
      </c>
      <c r="Q22" s="34">
        <f t="shared" si="11"/>
        <v>40390</v>
      </c>
      <c r="R22" s="34">
        <f t="shared" si="12"/>
        <v>40422</v>
      </c>
      <c r="S22" s="34">
        <f t="shared" si="13"/>
        <v>40454</v>
      </c>
      <c r="T22" s="34">
        <f t="shared" si="14"/>
        <v>40486</v>
      </c>
      <c r="U22" s="34">
        <f t="shared" si="15"/>
        <v>40518</v>
      </c>
      <c r="V22" s="34">
        <f t="shared" si="16"/>
        <v>40550</v>
      </c>
      <c r="W22" s="34">
        <f t="shared" si="17"/>
        <v>40582</v>
      </c>
      <c r="X22" s="34">
        <f t="shared" si="18"/>
        <v>40614</v>
      </c>
      <c r="Y22" s="34">
        <f t="shared" si="19"/>
        <v>40646</v>
      </c>
      <c r="Z22" s="34">
        <f t="shared" si="20"/>
        <v>40678</v>
      </c>
      <c r="AA22" s="34">
        <f t="shared" si="21"/>
        <v>40710</v>
      </c>
      <c r="AB22" s="34">
        <f t="shared" si="22"/>
        <v>40742</v>
      </c>
      <c r="AC22" s="34">
        <f t="shared" si="23"/>
        <v>40774</v>
      </c>
      <c r="AD22" s="34">
        <f t="shared" si="24"/>
        <v>40806</v>
      </c>
      <c r="AE22" s="34">
        <f t="shared" si="25"/>
        <v>40838</v>
      </c>
      <c r="AF22" s="34">
        <f t="shared" si="26"/>
        <v>40870</v>
      </c>
      <c r="AG22" s="34">
        <f t="shared" si="27"/>
        <v>40902</v>
      </c>
      <c r="AH22" s="34">
        <f t="shared" si="28"/>
        <v>40934</v>
      </c>
      <c r="AI22" s="35">
        <v>1</v>
      </c>
      <c r="AJ22" s="26" t="str">
        <f>RTD("modbusexcel.rtd",,$A$17,$C$17,IF($E$4="n","D",$D$17),E22,$AI22,$D$3,$B$17)</f>
        <v>84</v>
      </c>
      <c r="AK22" s="26" t="str">
        <f>RTD("modbusexcel.rtd",,$A$17,$C$17,IF($E$4="n","D",$D$17),F22,$AI22,$D$3,$B$17)</f>
        <v>84</v>
      </c>
      <c r="AL22" s="26" t="str">
        <f>RTD("modbusexcel.rtd",,$A$17,$C$17,IF($E$4="n","D",$D$17),G22,$AI22,$D$3,$B$17)</f>
        <v>84</v>
      </c>
      <c r="AM22" s="26" t="str">
        <f>RTD("modbusexcel.rtd",,$A$17,$C$17,IF($E$4="n","D",$D$17),H22,$AI22,$D$3,$B$17)</f>
        <v>84</v>
      </c>
      <c r="AN22" s="26" t="str">
        <f>RTD("modbusexcel.rtd",,$A$17,$C$17,IF($E$4="n","D",$D$17),I22,$AI22,$D$3,$B$17)</f>
        <v>84</v>
      </c>
      <c r="AO22" s="26" t="str">
        <f>RTD("modbusexcel.rtd",,$A$17,$C$17,IF($E$4="n","D",$D$17),J22,$AI22,$D$3,$B$17)</f>
        <v>84</v>
      </c>
      <c r="AP22" s="26" t="str">
        <f>RTD("modbusexcel.rtd",,$A$17,$C$17,IF($E$4="n","D",$D$17),K22,$AI22,$D$3,$B$17)</f>
        <v>60</v>
      </c>
      <c r="AQ22" s="26" t="str">
        <f>RTD("modbusexcel.rtd",,$A$17,$C$17,IF($E$4="n","D",$D$17),L22,$AI22,$D$3,$B$17)</f>
        <v>84</v>
      </c>
      <c r="AR22" s="26" t="str">
        <f>RTD("modbusexcel.rtd",,$A$17,$C$17,IF($E$4="n","D",$D$17),M22,$AI22,$D$3,$B$17)</f>
        <v>84</v>
      </c>
      <c r="AS22" s="26" t="str">
        <f>RTD("modbusexcel.rtd",,$A$17,$C$17,IF($E$4="n","D",$D$17),N22,$AI22,$D$3,$B$17)</f>
        <v>87</v>
      </c>
      <c r="AT22" s="26" t="str">
        <f>RTD("modbusexcel.rtd",,$A$17,$C$17,IF($E$4="n","D",$D$17),O22,$AI22,$D$3,$B$17)</f>
        <v>60</v>
      </c>
      <c r="AU22" s="26" t="str">
        <f>RTD("modbusexcel.rtd",,$A$17,$C$17,IF($E$4="n","D",$D$17),P22,$AI22,$D$3,$B$17)</f>
        <v>84</v>
      </c>
      <c r="AV22" s="26" t="str">
        <f>RTD("modbusexcel.rtd",,$A$17,$C$17,IF($E$4="n","D",$D$17),Q22,$AI22,$D$3,$B$17)</f>
        <v>87</v>
      </c>
      <c r="AW22" s="26" t="str">
        <f>RTD("modbusexcel.rtd",,$A$17,$C$17,IF($E$4="n","D",$D$17),R22,$AI22,$D$3,$B$17)</f>
        <v>87</v>
      </c>
      <c r="AX22" s="26" t="str">
        <f>RTD("modbusexcel.rtd",,$A$17,$C$17,IF($E$4="n","D",$D$17),S22,$AI22,$D$3,$B$17)</f>
        <v>84</v>
      </c>
      <c r="AY22" s="26" t="str">
        <f>RTD("modbusexcel.rtd",,$A$17,$C$17,IF($E$4="n","D",$D$17),T22,$AI22,$D$3,$B$17)</f>
        <v>84</v>
      </c>
      <c r="AZ22" s="26" t="str">
        <f>RTD("modbusexcel.rtd",,$A$17,$C$17,IF($E$4="n","D",$D$17),U22,$AI22,$D$3,$B$17)</f>
        <v>84</v>
      </c>
      <c r="BA22" s="26" t="str">
        <f>RTD("modbusexcel.rtd",,$A$17,$C$17,IF($E$4="n","D",$D$17),V22,$AI22,$D$3,$B$17)</f>
        <v>84</v>
      </c>
      <c r="BB22" s="26" t="str">
        <f>RTD("modbusexcel.rtd",,$A$17,$C$17,IF($E$4="n","D",$D$17),W22,$AI22,$D$3,$B$17)</f>
        <v>84</v>
      </c>
      <c r="BC22" s="26" t="str">
        <f>RTD("modbusexcel.rtd",,$A$17,$C$17,IF($E$4="n","D",$D$17),X22,$AI22,$D$3,$B$17)</f>
        <v>60</v>
      </c>
      <c r="BD22" s="26" t="str">
        <f>RTD("modbusexcel.rtd",,$A$17,$C$17,IF($E$4="n","D",$D$17),Y22,$AI22,$D$3,$B$17)</f>
        <v>84</v>
      </c>
      <c r="BE22" s="26" t="str">
        <f>RTD("modbusexcel.rtd",,$A$17,$C$17,IF($E$4="n","D",$D$17),Z22,$AI22,$D$3,$B$17)</f>
        <v>87</v>
      </c>
      <c r="BF22" s="26" t="str">
        <f>RTD("modbusexcel.rtd",,$A$17,$C$17,IF($E$4="n","D",$D$17),AA22,$AI22,$D$3,$B$17)</f>
        <v>87</v>
      </c>
      <c r="BG22" s="26" t="str">
        <f>RTD("modbusexcel.rtd",,$A$17,$C$17,IF($E$4="n","D",$D$17),AB22,$AI22,$D$3,$B$17)</f>
        <v>84</v>
      </c>
      <c r="BH22" s="26" t="str">
        <f>RTD("modbusexcel.rtd",,$A$17,$C$17,IF($E$4="n","D",$D$17),AC22,$AI22,$D$3,$B$17)</f>
        <v>84</v>
      </c>
      <c r="BI22" s="26" t="str">
        <f>RTD("modbusexcel.rtd",,$A$17,$C$17,IF($E$4="n","D",$D$17),AD22,$AI22,$D$3,$B$17)</f>
        <v>84</v>
      </c>
      <c r="BJ22" s="26" t="str">
        <f>RTD("modbusexcel.rtd",,$A$17,$C$17,IF($E$4="n","D",$D$17),AE22,$AI22,$D$3,$B$17)</f>
        <v>84</v>
      </c>
      <c r="BK22" s="26" t="str">
        <f>RTD("modbusexcel.rtd",,$A$17,$C$17,IF($E$4="n","D",$D$17),AF22,$AI22,$D$3,$B$17)</f>
        <v>84</v>
      </c>
      <c r="BL22" s="26" t="str">
        <f>RTD("modbusexcel.rtd",,$A$17,$C$17,IF($E$4="n","D",$D$17),AG22,$AI22,$D$3,$B$17)</f>
        <v>84</v>
      </c>
      <c r="BM22" s="26" t="str">
        <f>RTD("modbusexcel.rtd",,$A$17,$C$17,IF($E$4="n","D",$D$17),AH22,$AI22,$D$3,$B$17)</f>
        <v>84</v>
      </c>
    </row>
    <row r="23" spans="1:65" s="24" customFormat="1" ht="12" x14ac:dyDescent="0.2">
      <c r="E23" s="37">
        <f t="shared" si="29"/>
        <v>40007</v>
      </c>
      <c r="F23" s="34">
        <f t="shared" si="0"/>
        <v>40039</v>
      </c>
      <c r="G23" s="34">
        <f t="shared" si="1"/>
        <v>40071</v>
      </c>
      <c r="H23" s="34">
        <f t="shared" si="2"/>
        <v>40103</v>
      </c>
      <c r="I23" s="34">
        <f t="shared" si="3"/>
        <v>40135</v>
      </c>
      <c r="J23" s="34">
        <f t="shared" si="4"/>
        <v>40167</v>
      </c>
      <c r="K23" s="34">
        <f t="shared" si="5"/>
        <v>40199</v>
      </c>
      <c r="L23" s="34">
        <f t="shared" si="6"/>
        <v>40231</v>
      </c>
      <c r="M23" s="34">
        <f t="shared" si="7"/>
        <v>40263</v>
      </c>
      <c r="N23" s="34">
        <f t="shared" si="8"/>
        <v>40295</v>
      </c>
      <c r="O23" s="34">
        <f t="shared" si="9"/>
        <v>40327</v>
      </c>
      <c r="P23" s="34">
        <f t="shared" si="10"/>
        <v>40359</v>
      </c>
      <c r="Q23" s="34">
        <f t="shared" si="11"/>
        <v>40391</v>
      </c>
      <c r="R23" s="34">
        <f t="shared" si="12"/>
        <v>40423</v>
      </c>
      <c r="S23" s="34">
        <f t="shared" si="13"/>
        <v>40455</v>
      </c>
      <c r="T23" s="34">
        <f t="shared" si="14"/>
        <v>40487</v>
      </c>
      <c r="U23" s="34">
        <f t="shared" si="15"/>
        <v>40519</v>
      </c>
      <c r="V23" s="34">
        <f t="shared" si="16"/>
        <v>40551</v>
      </c>
      <c r="W23" s="34">
        <f t="shared" si="17"/>
        <v>40583</v>
      </c>
      <c r="X23" s="34">
        <f t="shared" si="18"/>
        <v>40615</v>
      </c>
      <c r="Y23" s="34">
        <f t="shared" si="19"/>
        <v>40647</v>
      </c>
      <c r="Z23" s="34">
        <f t="shared" si="20"/>
        <v>40679</v>
      </c>
      <c r="AA23" s="34">
        <f t="shared" si="21"/>
        <v>40711</v>
      </c>
      <c r="AB23" s="34">
        <f t="shared" si="22"/>
        <v>40743</v>
      </c>
      <c r="AC23" s="34">
        <f t="shared" si="23"/>
        <v>40775</v>
      </c>
      <c r="AD23" s="34">
        <f t="shared" si="24"/>
        <v>40807</v>
      </c>
      <c r="AE23" s="34">
        <f t="shared" si="25"/>
        <v>40839</v>
      </c>
      <c r="AF23" s="34">
        <f t="shared" si="26"/>
        <v>40871</v>
      </c>
      <c r="AG23" s="34">
        <f t="shared" si="27"/>
        <v>40903</v>
      </c>
      <c r="AH23" s="34">
        <f t="shared" si="28"/>
        <v>40935</v>
      </c>
      <c r="AI23" s="35">
        <v>1</v>
      </c>
      <c r="AJ23" s="26" t="str">
        <f>RTD("modbusexcel.rtd",,$A$17,$C$17,IF($E$4="n","D",$D$17),E23,$AI23,$D$3,$B$17)</f>
        <v>84</v>
      </c>
      <c r="AK23" s="26" t="str">
        <f>RTD("modbusexcel.rtd",,$A$17,$C$17,IF($E$4="n","D",$D$17),F23,$AI23,$D$3,$B$17)</f>
        <v>84</v>
      </c>
      <c r="AL23" s="26" t="str">
        <f>RTD("modbusexcel.rtd",,$A$17,$C$17,IF($E$4="n","D",$D$17),G23,$AI23,$D$3,$B$17)</f>
        <v>84</v>
      </c>
      <c r="AM23" s="26" t="str">
        <f>RTD("modbusexcel.rtd",,$A$17,$C$17,IF($E$4="n","D",$D$17),H23,$AI23,$D$3,$B$17)</f>
        <v>84</v>
      </c>
      <c r="AN23" s="26" t="str">
        <f>RTD("modbusexcel.rtd",,$A$17,$C$17,IF($E$4="n","D",$D$17),I23,$AI23,$D$3,$B$17)</f>
        <v>84</v>
      </c>
      <c r="AO23" s="26" t="str">
        <f>RTD("modbusexcel.rtd",,$A$17,$C$17,IF($E$4="n","D",$D$17),J23,$AI23,$D$3,$B$17)</f>
        <v>84</v>
      </c>
      <c r="AP23" s="26" t="str">
        <f>RTD("modbusexcel.rtd",,$A$17,$C$17,IF($E$4="n","D",$D$17),K23,$AI23,$D$3,$B$17)</f>
        <v>60</v>
      </c>
      <c r="AQ23" s="26" t="str">
        <f>RTD("modbusexcel.rtd",,$A$17,$C$17,IF($E$4="n","D",$D$17),L23,$AI23,$D$3,$B$17)</f>
        <v>84</v>
      </c>
      <c r="AR23" s="26" t="str">
        <f>RTD("modbusexcel.rtd",,$A$17,$C$17,IF($E$4="n","D",$D$17),M23,$AI23,$D$3,$B$17)</f>
        <v>84</v>
      </c>
      <c r="AS23" s="26" t="str">
        <f>RTD("modbusexcel.rtd",,$A$17,$C$17,IF($E$4="n","D",$D$17),N23,$AI23,$D$3,$B$17)</f>
        <v>87</v>
      </c>
      <c r="AT23" s="26" t="str">
        <f>RTD("modbusexcel.rtd",,$A$17,$C$17,IF($E$4="n","D",$D$17),O23,$AI23,$D$3,$B$17)</f>
        <v>60</v>
      </c>
      <c r="AU23" s="26" t="str">
        <f>RTD("modbusexcel.rtd",,$A$17,$C$17,IF($E$4="n","D",$D$17),P23,$AI23,$D$3,$B$17)</f>
        <v>84</v>
      </c>
      <c r="AV23" s="26" t="str">
        <f>RTD("modbusexcel.rtd",,$A$17,$C$17,IF($E$4="n","D",$D$17),Q23,$AI23,$D$3,$B$17)</f>
        <v>87</v>
      </c>
      <c r="AW23" s="26" t="str">
        <f>RTD("modbusexcel.rtd",,$A$17,$C$17,IF($E$4="n","D",$D$17),R23,$AI23,$D$3,$B$17)</f>
        <v>87</v>
      </c>
      <c r="AX23" s="26" t="str">
        <f>RTD("modbusexcel.rtd",,$A$17,$C$17,IF($E$4="n","D",$D$17),S23,$AI23,$D$3,$B$17)</f>
        <v>84</v>
      </c>
      <c r="AY23" s="26" t="str">
        <f>RTD("modbusexcel.rtd",,$A$17,$C$17,IF($E$4="n","D",$D$17),T23,$AI23,$D$3,$B$17)</f>
        <v>84</v>
      </c>
      <c r="AZ23" s="26" t="str">
        <f>RTD("modbusexcel.rtd",,$A$17,$C$17,IF($E$4="n","D",$D$17),U23,$AI23,$D$3,$B$17)</f>
        <v>84</v>
      </c>
      <c r="BA23" s="26" t="str">
        <f>RTD("modbusexcel.rtd",,$A$17,$C$17,IF($E$4="n","D",$D$17),V23,$AI23,$D$3,$B$17)</f>
        <v>84</v>
      </c>
      <c r="BB23" s="26" t="str">
        <f>RTD("modbusexcel.rtd",,$A$17,$C$17,IF($E$4="n","D",$D$17),W23,$AI23,$D$3,$B$17)</f>
        <v>84</v>
      </c>
      <c r="BC23" s="26" t="str">
        <f>RTD("modbusexcel.rtd",,$A$17,$C$17,IF($E$4="n","D",$D$17),X23,$AI23,$D$3,$B$17)</f>
        <v>60</v>
      </c>
      <c r="BD23" s="26" t="str">
        <f>RTD("modbusexcel.rtd",,$A$17,$C$17,IF($E$4="n","D",$D$17),Y23,$AI23,$D$3,$B$17)</f>
        <v>84</v>
      </c>
      <c r="BE23" s="26" t="str">
        <f>RTD("modbusexcel.rtd",,$A$17,$C$17,IF($E$4="n","D",$D$17),Z23,$AI23,$D$3,$B$17)</f>
        <v>87</v>
      </c>
      <c r="BF23" s="26" t="str">
        <f>RTD("modbusexcel.rtd",,$A$17,$C$17,IF($E$4="n","D",$D$17),AA23,$AI23,$D$3,$B$17)</f>
        <v>87</v>
      </c>
      <c r="BG23" s="26" t="str">
        <f>RTD("modbusexcel.rtd",,$A$17,$C$17,IF($E$4="n","D",$D$17),AB23,$AI23,$D$3,$B$17)</f>
        <v>60</v>
      </c>
      <c r="BH23" s="26" t="str">
        <f>RTD("modbusexcel.rtd",,$A$17,$C$17,IF($E$4="n","D",$D$17),AC23,$AI23,$D$3,$B$17)</f>
        <v>84</v>
      </c>
      <c r="BI23" s="26" t="str">
        <f>RTD("modbusexcel.rtd",,$A$17,$C$17,IF($E$4="n","D",$D$17),AD23,$AI23,$D$3,$B$17)</f>
        <v>84</v>
      </c>
      <c r="BJ23" s="26" t="str">
        <f>RTD("modbusexcel.rtd",,$A$17,$C$17,IF($E$4="n","D",$D$17),AE23,$AI23,$D$3,$B$17)</f>
        <v>84</v>
      </c>
      <c r="BK23" s="26" t="str">
        <f>RTD("modbusexcel.rtd",,$A$17,$C$17,IF($E$4="n","D",$D$17),AF23,$AI23,$D$3,$B$17)</f>
        <v>84</v>
      </c>
      <c r="BL23" s="26" t="str">
        <f>RTD("modbusexcel.rtd",,$A$17,$C$17,IF($E$4="n","D",$D$17),AG23,$AI23,$D$3,$B$17)</f>
        <v>84</v>
      </c>
      <c r="BM23" s="26" t="str">
        <f>RTD("modbusexcel.rtd",,$A$17,$C$17,IF($E$4="n","D",$D$17),AH23,$AI23,$D$3,$B$17)</f>
        <v>84</v>
      </c>
    </row>
    <row r="24" spans="1:65" s="24" customFormat="1" ht="12" x14ac:dyDescent="0.2">
      <c r="E24" s="37">
        <f t="shared" si="29"/>
        <v>40008</v>
      </c>
      <c r="F24" s="34">
        <f t="shared" si="0"/>
        <v>40040</v>
      </c>
      <c r="G24" s="34">
        <f t="shared" si="1"/>
        <v>40072</v>
      </c>
      <c r="H24" s="34">
        <f t="shared" si="2"/>
        <v>40104</v>
      </c>
      <c r="I24" s="34">
        <f t="shared" si="3"/>
        <v>40136</v>
      </c>
      <c r="J24" s="34">
        <f t="shared" si="4"/>
        <v>40168</v>
      </c>
      <c r="K24" s="34">
        <f t="shared" si="5"/>
        <v>40200</v>
      </c>
      <c r="L24" s="34">
        <f t="shared" si="6"/>
        <v>40232</v>
      </c>
      <c r="M24" s="34">
        <f t="shared" si="7"/>
        <v>40264</v>
      </c>
      <c r="N24" s="34">
        <f t="shared" si="8"/>
        <v>40296</v>
      </c>
      <c r="O24" s="34">
        <f t="shared" si="9"/>
        <v>40328</v>
      </c>
      <c r="P24" s="34">
        <f t="shared" si="10"/>
        <v>40360</v>
      </c>
      <c r="Q24" s="34">
        <f t="shared" si="11"/>
        <v>40392</v>
      </c>
      <c r="R24" s="34">
        <f t="shared" si="12"/>
        <v>40424</v>
      </c>
      <c r="S24" s="34">
        <f t="shared" si="13"/>
        <v>40456</v>
      </c>
      <c r="T24" s="34">
        <f t="shared" si="14"/>
        <v>40488</v>
      </c>
      <c r="U24" s="34">
        <f t="shared" si="15"/>
        <v>40520</v>
      </c>
      <c r="V24" s="34">
        <f t="shared" si="16"/>
        <v>40552</v>
      </c>
      <c r="W24" s="34">
        <f t="shared" si="17"/>
        <v>40584</v>
      </c>
      <c r="X24" s="34">
        <f t="shared" si="18"/>
        <v>40616</v>
      </c>
      <c r="Y24" s="34">
        <f t="shared" si="19"/>
        <v>40648</v>
      </c>
      <c r="Z24" s="34">
        <f t="shared" si="20"/>
        <v>40680</v>
      </c>
      <c r="AA24" s="34">
        <f t="shared" si="21"/>
        <v>40712</v>
      </c>
      <c r="AB24" s="34">
        <f t="shared" si="22"/>
        <v>40744</v>
      </c>
      <c r="AC24" s="34">
        <f t="shared" si="23"/>
        <v>40776</v>
      </c>
      <c r="AD24" s="34">
        <f t="shared" si="24"/>
        <v>40808</v>
      </c>
      <c r="AE24" s="34">
        <f t="shared" si="25"/>
        <v>40840</v>
      </c>
      <c r="AF24" s="34">
        <f t="shared" si="26"/>
        <v>40872</v>
      </c>
      <c r="AG24" s="34">
        <f t="shared" si="27"/>
        <v>40904</v>
      </c>
      <c r="AH24" s="34">
        <f t="shared" si="28"/>
        <v>40936</v>
      </c>
      <c r="AI24" s="35">
        <v>1</v>
      </c>
      <c r="AJ24" s="26" t="str">
        <f>RTD("modbusexcel.rtd",,$A$17,$C$17,IF($E$4="n","D",$D$17),E24,$AI24,$D$3,$B$17)</f>
        <v>87</v>
      </c>
      <c r="AK24" s="26" t="str">
        <f>RTD("modbusexcel.rtd",,$A$17,$C$17,IF($E$4="n","D",$D$17),F24,$AI24,$D$3,$B$17)</f>
        <v>60</v>
      </c>
      <c r="AL24" s="26" t="str">
        <f>RTD("modbusexcel.rtd",,$A$17,$C$17,IF($E$4="n","D",$D$17),G24,$AI24,$D$3,$B$17)</f>
        <v>84</v>
      </c>
      <c r="AM24" s="26" t="str">
        <f>RTD("modbusexcel.rtd",,$A$17,$C$17,IF($E$4="n","D",$D$17),H24,$AI24,$D$3,$B$17)</f>
        <v>84</v>
      </c>
      <c r="AN24" s="26" t="str">
        <f>RTD("modbusexcel.rtd",,$A$17,$C$17,IF($E$4="n","D",$D$17),I24,$AI24,$D$3,$B$17)</f>
        <v>84</v>
      </c>
      <c r="AO24" s="26" t="str">
        <f>RTD("modbusexcel.rtd",,$A$17,$C$17,IF($E$4="n","D",$D$17),J24,$AI24,$D$3,$B$17)</f>
        <v>84</v>
      </c>
      <c r="AP24" s="26" t="str">
        <f>RTD("modbusexcel.rtd",,$A$17,$C$17,IF($E$4="n","D",$D$17),K24,$AI24,$D$3,$B$17)</f>
        <v>84</v>
      </c>
      <c r="AQ24" s="26" t="str">
        <f>RTD("modbusexcel.rtd",,$A$17,$C$17,IF($E$4="n","D",$D$17),L24,$AI24,$D$3,$B$17)</f>
        <v>84</v>
      </c>
      <c r="AR24" s="26" t="str">
        <f>RTD("modbusexcel.rtd",,$A$17,$C$17,IF($E$4="n","D",$D$17),M24,$AI24,$D$3,$B$17)</f>
        <v>84</v>
      </c>
      <c r="AS24" s="26" t="str">
        <f>RTD("modbusexcel.rtd",,$A$17,$C$17,IF($E$4="n","D",$D$17),N24,$AI24,$D$3,$B$17)</f>
        <v>60</v>
      </c>
      <c r="AT24" s="26" t="str">
        <f>RTD("modbusexcel.rtd",,$A$17,$C$17,IF($E$4="n","D",$D$17),O24,$AI24,$D$3,$B$17)</f>
        <v>75</v>
      </c>
      <c r="AU24" s="26" t="str">
        <f>RTD("modbusexcel.rtd",,$A$17,$C$17,IF($E$4="n","D",$D$17),P24,$AI24,$D$3,$B$17)</f>
        <v>84</v>
      </c>
      <c r="AV24" s="26" t="str">
        <f>RTD("modbusexcel.rtd",,$A$17,$C$17,IF($E$4="n","D",$D$17),Q24,$AI24,$D$3,$B$17)</f>
        <v>87</v>
      </c>
      <c r="AW24" s="26" t="str">
        <f>RTD("modbusexcel.rtd",,$A$17,$C$17,IF($E$4="n","D",$D$17),R24,$AI24,$D$3,$B$17)</f>
        <v>87</v>
      </c>
      <c r="AX24" s="26" t="str">
        <f>RTD("modbusexcel.rtd",,$A$17,$C$17,IF($E$4="n","D",$D$17),S24,$AI24,$D$3,$B$17)</f>
        <v>84</v>
      </c>
      <c r="AY24" s="26" t="str">
        <f>RTD("modbusexcel.rtd",,$A$17,$C$17,IF($E$4="n","D",$D$17),T24,$AI24,$D$3,$B$17)</f>
        <v>84</v>
      </c>
      <c r="AZ24" s="26" t="str">
        <f>RTD("modbusexcel.rtd",,$A$17,$C$17,IF($E$4="n","D",$D$17),U24,$AI24,$D$3,$B$17)</f>
        <v>87</v>
      </c>
      <c r="BA24" s="26" t="str">
        <f>RTD("modbusexcel.rtd",,$A$17,$C$17,IF($E$4="n","D",$D$17),V24,$AI24,$D$3,$B$17)</f>
        <v>84</v>
      </c>
      <c r="BB24" s="26" t="str">
        <f>RTD("modbusexcel.rtd",,$A$17,$C$17,IF($E$4="n","D",$D$17),W24,$AI24,$D$3,$B$17)</f>
        <v>84</v>
      </c>
      <c r="BC24" s="26" t="str">
        <f>RTD("modbusexcel.rtd",,$A$17,$C$17,IF($E$4="n","D",$D$17),X24,$AI24,$D$3,$B$17)</f>
        <v>84</v>
      </c>
      <c r="BD24" s="26" t="str">
        <f>RTD("modbusexcel.rtd",,$A$17,$C$17,IF($E$4="n","D",$D$17),Y24,$AI24,$D$3,$B$17)</f>
        <v>84</v>
      </c>
      <c r="BE24" s="26" t="str">
        <f>RTD("modbusexcel.rtd",,$A$17,$C$17,IF($E$4="n","D",$D$17),Z24,$AI24,$D$3,$B$17)</f>
        <v>84</v>
      </c>
      <c r="BF24" s="26" t="str">
        <f>RTD("modbusexcel.rtd",,$A$17,$C$17,IF($E$4="n","D",$D$17),AA24,$AI24,$D$3,$B$17)</f>
        <v>60</v>
      </c>
      <c r="BG24" s="26" t="str">
        <f>RTD("modbusexcel.rtd",,$A$17,$C$17,IF($E$4="n","D",$D$17),AB24,$AI24,$D$3,$B$17)</f>
        <v>84</v>
      </c>
      <c r="BH24" s="26" t="str">
        <f>RTD("modbusexcel.rtd",,$A$17,$C$17,IF($E$4="n","D",$D$17),AC24,$AI24,$D$3,$B$17)</f>
        <v>87</v>
      </c>
      <c r="BI24" s="26" t="str">
        <f>RTD("modbusexcel.rtd",,$A$17,$C$17,IF($E$4="n","D",$D$17),AD24,$AI24,$D$3,$B$17)</f>
        <v>87</v>
      </c>
      <c r="BJ24" s="26" t="str">
        <f>RTD("modbusexcel.rtd",,$A$17,$C$17,IF($E$4="n","D",$D$17),AE24,$AI24,$D$3,$B$17)</f>
        <v>60</v>
      </c>
      <c r="BK24" s="26" t="str">
        <f>RTD("modbusexcel.rtd",,$A$17,$C$17,IF($E$4="n","D",$D$17),AF24,$AI24,$D$3,$B$17)</f>
        <v>84</v>
      </c>
      <c r="BL24" s="26" t="str">
        <f>RTD("modbusexcel.rtd",,$A$17,$C$17,IF($E$4="n","D",$D$17),AG24,$AI24,$D$3,$B$17)</f>
        <v>84</v>
      </c>
      <c r="BM24" s="26" t="str">
        <f>RTD("modbusexcel.rtd",,$A$17,$C$17,IF($E$4="n","D",$D$17),AH24,$AI24,$D$3,$B$17)</f>
        <v>84</v>
      </c>
    </row>
    <row r="25" spans="1:65" s="24" customFormat="1" ht="12" x14ac:dyDescent="0.2">
      <c r="E25" s="37">
        <f t="shared" si="29"/>
        <v>40009</v>
      </c>
      <c r="F25" s="34">
        <f t="shared" si="0"/>
        <v>40041</v>
      </c>
      <c r="G25" s="34">
        <f t="shared" si="1"/>
        <v>40073</v>
      </c>
      <c r="H25" s="34">
        <f t="shared" si="2"/>
        <v>40105</v>
      </c>
      <c r="I25" s="34">
        <f t="shared" si="3"/>
        <v>40137</v>
      </c>
      <c r="J25" s="34">
        <f t="shared" si="4"/>
        <v>40169</v>
      </c>
      <c r="K25" s="34">
        <f t="shared" si="5"/>
        <v>40201</v>
      </c>
      <c r="L25" s="34">
        <f t="shared" si="6"/>
        <v>40233</v>
      </c>
      <c r="M25" s="34">
        <f t="shared" si="7"/>
        <v>40265</v>
      </c>
      <c r="N25" s="34">
        <f t="shared" si="8"/>
        <v>40297</v>
      </c>
      <c r="O25" s="34">
        <f t="shared" si="9"/>
        <v>40329</v>
      </c>
      <c r="P25" s="34">
        <f t="shared" si="10"/>
        <v>40361</v>
      </c>
      <c r="Q25" s="34">
        <f t="shared" si="11"/>
        <v>40393</v>
      </c>
      <c r="R25" s="34">
        <f t="shared" si="12"/>
        <v>40425</v>
      </c>
      <c r="S25" s="34">
        <f t="shared" si="13"/>
        <v>40457</v>
      </c>
      <c r="T25" s="34">
        <f t="shared" si="14"/>
        <v>40489</v>
      </c>
      <c r="U25" s="34">
        <f t="shared" si="15"/>
        <v>40521</v>
      </c>
      <c r="V25" s="34">
        <f t="shared" si="16"/>
        <v>40553</v>
      </c>
      <c r="W25" s="34">
        <f t="shared" si="17"/>
        <v>40585</v>
      </c>
      <c r="X25" s="34">
        <f t="shared" si="18"/>
        <v>40617</v>
      </c>
      <c r="Y25" s="34">
        <f t="shared" si="19"/>
        <v>40649</v>
      </c>
      <c r="Z25" s="34">
        <f t="shared" si="20"/>
        <v>40681</v>
      </c>
      <c r="AA25" s="34">
        <f t="shared" si="21"/>
        <v>40713</v>
      </c>
      <c r="AB25" s="34">
        <f t="shared" si="22"/>
        <v>40745</v>
      </c>
      <c r="AC25" s="34">
        <f t="shared" si="23"/>
        <v>40777</v>
      </c>
      <c r="AD25" s="34">
        <f t="shared" si="24"/>
        <v>40809</v>
      </c>
      <c r="AE25" s="34">
        <f t="shared" si="25"/>
        <v>40841</v>
      </c>
      <c r="AF25" s="34">
        <f t="shared" si="26"/>
        <v>40873</v>
      </c>
      <c r="AG25" s="34">
        <f t="shared" si="27"/>
        <v>40905</v>
      </c>
      <c r="AH25" s="34">
        <f t="shared" si="28"/>
        <v>40937</v>
      </c>
      <c r="AI25" s="35">
        <v>1</v>
      </c>
      <c r="AJ25" s="26" t="str">
        <f>RTD("modbusexcel.rtd",,$A$17,$C$17,IF($E$4="n","D",$D$17),E25,$AI25,$D$3,$B$17)</f>
        <v>84</v>
      </c>
      <c r="AK25" s="26" t="str">
        <f>RTD("modbusexcel.rtd",,$A$17,$C$17,IF($E$4="n","D",$D$17),F25,$AI25,$D$3,$B$17)</f>
        <v>60</v>
      </c>
      <c r="AL25" s="26" t="str">
        <f>RTD("modbusexcel.rtd",,$A$17,$C$17,IF($E$4="n","D",$D$17),G25,$AI25,$D$3,$B$17)</f>
        <v>84</v>
      </c>
      <c r="AM25" s="26" t="str">
        <f>RTD("modbusexcel.rtd",,$A$17,$C$17,IF($E$4="n","D",$D$17),H25,$AI25,$D$3,$B$17)</f>
        <v>84</v>
      </c>
      <c r="AN25" s="26" t="str">
        <f>RTD("modbusexcel.rtd",,$A$17,$C$17,IF($E$4="n","D",$D$17),I25,$AI25,$D$3,$B$17)</f>
        <v>84</v>
      </c>
      <c r="AO25" s="26" t="str">
        <f>RTD("modbusexcel.rtd",,$A$17,$C$17,IF($E$4="n","D",$D$17),J25,$AI25,$D$3,$B$17)</f>
        <v>84</v>
      </c>
      <c r="AP25" s="26" t="str">
        <f>RTD("modbusexcel.rtd",,$A$17,$C$17,IF($E$4="n","D",$D$17),K25,$AI25,$D$3,$B$17)</f>
        <v>84</v>
      </c>
      <c r="AQ25" s="26" t="str">
        <f>RTD("modbusexcel.rtd",,$A$17,$C$17,IF($E$4="n","D",$D$17),L25,$AI25,$D$3,$B$17)</f>
        <v>84</v>
      </c>
      <c r="AR25" s="26" t="str">
        <f>RTD("modbusexcel.rtd",,$A$17,$C$17,IF($E$4="n","D",$D$17),M25,$AI25,$D$3,$B$17)</f>
        <v>84</v>
      </c>
      <c r="AS25" s="26" t="str">
        <f>RTD("modbusexcel.rtd",,$A$17,$C$17,IF($E$4="n","D",$D$17),N25,$AI25,$D$3,$B$17)</f>
        <v>60</v>
      </c>
      <c r="AT25" s="26" t="str">
        <f>RTD("modbusexcel.rtd",,$A$17,$C$17,IF($E$4="n","D",$D$17),O25,$AI25,$D$3,$B$17)</f>
        <v>60</v>
      </c>
      <c r="AU25" s="26" t="str">
        <f>RTD("modbusexcel.rtd",,$A$17,$C$17,IF($E$4="n","D",$D$17),P25,$AI25,$D$3,$B$17)</f>
        <v>84</v>
      </c>
      <c r="AV25" s="26" t="str">
        <f>RTD("modbusexcel.rtd",,$A$17,$C$17,IF($E$4="n","D",$D$17),Q25,$AI25,$D$3,$B$17)</f>
        <v>87</v>
      </c>
      <c r="AW25" s="26" t="str">
        <f>RTD("modbusexcel.rtd",,$A$17,$C$17,IF($E$4="n","D",$D$17),R25,$AI25,$D$3,$B$17)</f>
        <v>87</v>
      </c>
      <c r="AX25" s="26" t="str">
        <f>RTD("modbusexcel.rtd",,$A$17,$C$17,IF($E$4="n","D",$D$17),S25,$AI25,$D$3,$B$17)</f>
        <v>84</v>
      </c>
      <c r="AY25" s="26" t="str">
        <f>RTD("modbusexcel.rtd",,$A$17,$C$17,IF($E$4="n","D",$D$17),T25,$AI25,$D$3,$B$17)</f>
        <v>84</v>
      </c>
      <c r="AZ25" s="26" t="str">
        <f>RTD("modbusexcel.rtd",,$A$17,$C$17,IF($E$4="n","D",$D$17),U25,$AI25,$D$3,$B$17)</f>
        <v>87</v>
      </c>
      <c r="BA25" s="26" t="str">
        <f>RTD("modbusexcel.rtd",,$A$17,$C$17,IF($E$4="n","D",$D$17),V25,$AI25,$D$3,$B$17)</f>
        <v>84</v>
      </c>
      <c r="BB25" s="26" t="str">
        <f>RTD("modbusexcel.rtd",,$A$17,$C$17,IF($E$4="n","D",$D$17),W25,$AI25,$D$3,$B$17)</f>
        <v>84</v>
      </c>
      <c r="BC25" s="26" t="str">
        <f>RTD("modbusexcel.rtd",,$A$17,$C$17,IF($E$4="n","D",$D$17),X25,$AI25,$D$3,$B$17)</f>
        <v>84</v>
      </c>
      <c r="BD25" s="26" t="str">
        <f>RTD("modbusexcel.rtd",,$A$17,$C$17,IF($E$4="n","D",$D$17),Y25,$AI25,$D$3,$B$17)</f>
        <v>84</v>
      </c>
      <c r="BE25" s="26" t="str">
        <f>RTD("modbusexcel.rtd",,$A$17,$C$17,IF($E$4="n","D",$D$17),Z25,$AI25,$D$3,$B$17)</f>
        <v>84</v>
      </c>
      <c r="BF25" s="26" t="str">
        <f>RTD("modbusexcel.rtd",,$A$17,$C$17,IF($E$4="n","D",$D$17),AA25,$AI25,$D$3,$B$17)</f>
        <v>87</v>
      </c>
      <c r="BG25" s="26" t="str">
        <f>RTD("modbusexcel.rtd",,$A$17,$C$17,IF($E$4="n","D",$D$17),AB25,$AI25,$D$3,$B$17)</f>
        <v>84</v>
      </c>
      <c r="BH25" s="26" t="str">
        <f>RTD("modbusexcel.rtd",,$A$17,$C$17,IF($E$4="n","D",$D$17),AC25,$AI25,$D$3,$B$17)</f>
        <v>87</v>
      </c>
      <c r="BI25" s="26" t="str">
        <f>RTD("modbusexcel.rtd",,$A$17,$C$17,IF($E$4="n","D",$D$17),AD25,$AI25,$D$3,$B$17)</f>
        <v>84</v>
      </c>
      <c r="BJ25" s="26" t="str">
        <f>RTD("modbusexcel.rtd",,$A$17,$C$17,IF($E$4="n","D",$D$17),AE25,$AI25,$D$3,$B$17)</f>
        <v>60</v>
      </c>
      <c r="BK25" s="26" t="str">
        <f>RTD("modbusexcel.rtd",,$A$17,$C$17,IF($E$4="n","D",$D$17),AF25,$AI25,$D$3,$B$17)</f>
        <v>84</v>
      </c>
      <c r="BL25" s="26" t="str">
        <f>RTD("modbusexcel.rtd",,$A$17,$C$17,IF($E$4="n","D",$D$17),AG25,$AI25,$D$3,$B$17)</f>
        <v>84</v>
      </c>
      <c r="BM25" s="26" t="str">
        <f>RTD("modbusexcel.rtd",,$A$17,$C$17,IF($E$4="n","D",$D$17),AH25,$AI25,$D$3,$B$17)</f>
        <v>84</v>
      </c>
    </row>
    <row r="26" spans="1:65" s="24" customFormat="1" ht="12" x14ac:dyDescent="0.2">
      <c r="E26" s="37">
        <f t="shared" si="29"/>
        <v>40010</v>
      </c>
      <c r="F26" s="34">
        <f t="shared" si="0"/>
        <v>40042</v>
      </c>
      <c r="G26" s="34">
        <f t="shared" si="1"/>
        <v>40074</v>
      </c>
      <c r="H26" s="34">
        <f t="shared" si="2"/>
        <v>40106</v>
      </c>
      <c r="I26" s="34">
        <f t="shared" si="3"/>
        <v>40138</v>
      </c>
      <c r="J26" s="34">
        <f t="shared" si="4"/>
        <v>40170</v>
      </c>
      <c r="K26" s="34">
        <f t="shared" si="5"/>
        <v>40202</v>
      </c>
      <c r="L26" s="34">
        <f t="shared" si="6"/>
        <v>40234</v>
      </c>
      <c r="M26" s="34">
        <f t="shared" si="7"/>
        <v>40266</v>
      </c>
      <c r="N26" s="34">
        <f t="shared" si="8"/>
        <v>40298</v>
      </c>
      <c r="O26" s="34">
        <f t="shared" si="9"/>
        <v>40330</v>
      </c>
      <c r="P26" s="34">
        <f t="shared" si="10"/>
        <v>40362</v>
      </c>
      <c r="Q26" s="34">
        <f t="shared" si="11"/>
        <v>40394</v>
      </c>
      <c r="R26" s="34">
        <f t="shared" si="12"/>
        <v>40426</v>
      </c>
      <c r="S26" s="34">
        <f t="shared" si="13"/>
        <v>40458</v>
      </c>
      <c r="T26" s="34">
        <f t="shared" si="14"/>
        <v>40490</v>
      </c>
      <c r="U26" s="34">
        <f t="shared" si="15"/>
        <v>40522</v>
      </c>
      <c r="V26" s="34">
        <f t="shared" si="16"/>
        <v>40554</v>
      </c>
      <c r="W26" s="34">
        <f t="shared" si="17"/>
        <v>40586</v>
      </c>
      <c r="X26" s="34">
        <f t="shared" si="18"/>
        <v>40618</v>
      </c>
      <c r="Y26" s="34">
        <f t="shared" si="19"/>
        <v>40650</v>
      </c>
      <c r="Z26" s="34">
        <f t="shared" si="20"/>
        <v>40682</v>
      </c>
      <c r="AA26" s="34">
        <f t="shared" si="21"/>
        <v>40714</v>
      </c>
      <c r="AB26" s="34">
        <f t="shared" si="22"/>
        <v>40746</v>
      </c>
      <c r="AC26" s="34">
        <f t="shared" si="23"/>
        <v>40778</v>
      </c>
      <c r="AD26" s="34">
        <f t="shared" si="24"/>
        <v>40810</v>
      </c>
      <c r="AE26" s="34">
        <f t="shared" si="25"/>
        <v>40842</v>
      </c>
      <c r="AF26" s="34">
        <f t="shared" si="26"/>
        <v>40874</v>
      </c>
      <c r="AG26" s="34">
        <f t="shared" si="27"/>
        <v>40906</v>
      </c>
      <c r="AH26" s="34">
        <f t="shared" si="28"/>
        <v>40938</v>
      </c>
      <c r="AI26" s="35">
        <v>1</v>
      </c>
      <c r="AJ26" s="26" t="str">
        <f>RTD("modbusexcel.rtd",,$A$17,$C$17,IF($E$4="n","D",$D$17),E26,$AI26,$D$3,$B$17)</f>
        <v>87</v>
      </c>
      <c r="AK26" s="26" t="str">
        <f>RTD("modbusexcel.rtd",,$A$17,$C$17,IF($E$4="n","D",$D$17),F26,$AI26,$D$3,$B$17)</f>
        <v>84</v>
      </c>
      <c r="AL26" s="26" t="str">
        <f>RTD("modbusexcel.rtd",,$A$17,$C$17,IF($E$4="n","D",$D$17),G26,$AI26,$D$3,$B$17)</f>
        <v>84</v>
      </c>
      <c r="AM26" s="26" t="str">
        <f>RTD("modbusexcel.rtd",,$A$17,$C$17,IF($E$4="n","D",$D$17),H26,$AI26,$D$3,$B$17)</f>
        <v>84</v>
      </c>
      <c r="AN26" s="26" t="str">
        <f>RTD("modbusexcel.rtd",,$A$17,$C$17,IF($E$4="n","D",$D$17),I26,$AI26,$D$3,$B$17)</f>
        <v>84</v>
      </c>
      <c r="AO26" s="26" t="str">
        <f>RTD("modbusexcel.rtd",,$A$17,$C$17,IF($E$4="n","D",$D$17),J26,$AI26,$D$3,$B$17)</f>
        <v>84</v>
      </c>
      <c r="AP26" s="26" t="str">
        <f>RTD("modbusexcel.rtd",,$A$17,$C$17,IF($E$4="n","D",$D$17),K26,$AI26,$D$3,$B$17)</f>
        <v>84</v>
      </c>
      <c r="AQ26" s="26" t="str">
        <f>RTD("modbusexcel.rtd",,$A$17,$C$17,IF($E$4="n","D",$D$17),L26,$AI26,$D$3,$B$17)</f>
        <v>84</v>
      </c>
      <c r="AR26" s="26" t="str">
        <f>RTD("modbusexcel.rtd",,$A$17,$C$17,IF($E$4="n","D",$D$17),M26,$AI26,$D$3,$B$17)</f>
        <v>84</v>
      </c>
      <c r="AS26" s="26" t="str">
        <f>RTD("modbusexcel.rtd",,$A$17,$C$17,IF($E$4="n","D",$D$17),N26,$AI26,$D$3,$B$17)</f>
        <v>60</v>
      </c>
      <c r="AT26" s="26" t="str">
        <f>RTD("modbusexcel.rtd",,$A$17,$C$17,IF($E$4="n","D",$D$17),O26,$AI26,$D$3,$B$17)</f>
        <v>84</v>
      </c>
      <c r="AU26" s="26" t="str">
        <f>RTD("modbusexcel.rtd",,$A$17,$C$17,IF($E$4="n","D",$D$17),P26,$AI26,$D$3,$B$17)</f>
        <v>84</v>
      </c>
      <c r="AV26" s="26" t="str">
        <f>RTD("modbusexcel.rtd",,$A$17,$C$17,IF($E$4="n","D",$D$17),Q26,$AI26,$D$3,$B$17)</f>
        <v>87</v>
      </c>
      <c r="AW26" s="26" t="str">
        <f>RTD("modbusexcel.rtd",,$A$17,$C$17,IF($E$4="n","D",$D$17),R26,$AI26,$D$3,$B$17)</f>
        <v>60</v>
      </c>
      <c r="AX26" s="26" t="str">
        <f>RTD("modbusexcel.rtd",,$A$17,$C$17,IF($E$4="n","D",$D$17),S26,$AI26,$D$3,$B$17)</f>
        <v>84</v>
      </c>
      <c r="AY26" s="26" t="str">
        <f>RTD("modbusexcel.rtd",,$A$17,$C$17,IF($E$4="n","D",$D$17),T26,$AI26,$D$3,$B$17)</f>
        <v>87</v>
      </c>
      <c r="AZ26" s="26" t="str">
        <f>RTD("modbusexcel.rtd",,$A$17,$C$17,IF($E$4="n","D",$D$17),U26,$AI26,$D$3,$B$17)</f>
        <v>87</v>
      </c>
      <c r="BA26" s="26" t="str">
        <f>RTD("modbusexcel.rtd",,$A$17,$C$17,IF($E$4="n","D",$D$17),V26,$AI26,$D$3,$B$17)</f>
        <v>84</v>
      </c>
      <c r="BB26" s="26" t="str">
        <f>RTD("modbusexcel.rtd",,$A$17,$C$17,IF($E$4="n","D",$D$17),W26,$AI26,$D$3,$B$17)</f>
        <v>84</v>
      </c>
      <c r="BC26" s="26" t="str">
        <f>RTD("modbusexcel.rtd",,$A$17,$C$17,IF($E$4="n","D",$D$17),X26,$AI26,$D$3,$B$17)</f>
        <v>84</v>
      </c>
      <c r="BD26" s="26" t="str">
        <f>RTD("modbusexcel.rtd",,$A$17,$C$17,IF($E$4="n","D",$D$17),Y26,$AI26,$D$3,$B$17)</f>
        <v>84</v>
      </c>
      <c r="BE26" s="26" t="str">
        <f>RTD("modbusexcel.rtd",,$A$17,$C$17,IF($E$4="n","D",$D$17),Z26,$AI26,$D$3,$B$17)</f>
        <v>84</v>
      </c>
      <c r="BF26" s="26" t="str">
        <f>RTD("modbusexcel.rtd",,$A$17,$C$17,IF($E$4="n","D",$D$17),AA26,$AI26,$D$3,$B$17)</f>
        <v>60</v>
      </c>
      <c r="BG26" s="26" t="str">
        <f>RTD("modbusexcel.rtd",,$A$17,$C$17,IF($E$4="n","D",$D$17),AB26,$AI26,$D$3,$B$17)</f>
        <v>84</v>
      </c>
      <c r="BH26" s="26" t="str">
        <f>RTD("modbusexcel.rtd",,$A$17,$C$17,IF($E$4="n","D",$D$17),AC26,$AI26,$D$3,$B$17)</f>
        <v>87</v>
      </c>
      <c r="BI26" s="26" t="str">
        <f>RTD("modbusexcel.rtd",,$A$17,$C$17,IF($E$4="n","D",$D$17),AD26,$AI26,$D$3,$B$17)</f>
        <v>87</v>
      </c>
      <c r="BJ26" s="26" t="str">
        <f>RTD("modbusexcel.rtd",,$A$17,$C$17,IF($E$4="n","D",$D$17),AE26,$AI26,$D$3,$B$17)</f>
        <v>84</v>
      </c>
      <c r="BK26" s="26" t="str">
        <f>RTD("modbusexcel.rtd",,$A$17,$C$17,IF($E$4="n","D",$D$17),AF26,$AI26,$D$3,$B$17)</f>
        <v>84</v>
      </c>
      <c r="BL26" s="26" t="str">
        <f>RTD("modbusexcel.rtd",,$A$17,$C$17,IF($E$4="n","D",$D$17),AG26,$AI26,$D$3,$B$17)</f>
        <v>84</v>
      </c>
      <c r="BM26" s="26" t="str">
        <f>RTD("modbusexcel.rtd",,$A$17,$C$17,IF($E$4="n","D",$D$17),AH26,$AI26,$D$3,$B$17)</f>
        <v>84</v>
      </c>
    </row>
    <row r="27" spans="1:65" s="24" customFormat="1" ht="12" x14ac:dyDescent="0.2">
      <c r="E27" s="37">
        <f t="shared" si="29"/>
        <v>40011</v>
      </c>
      <c r="F27" s="34">
        <f t="shared" si="0"/>
        <v>40043</v>
      </c>
      <c r="G27" s="34">
        <f t="shared" si="1"/>
        <v>40075</v>
      </c>
      <c r="H27" s="34">
        <f t="shared" si="2"/>
        <v>40107</v>
      </c>
      <c r="I27" s="34">
        <f t="shared" si="3"/>
        <v>40139</v>
      </c>
      <c r="J27" s="34">
        <f t="shared" si="4"/>
        <v>40171</v>
      </c>
      <c r="K27" s="34">
        <f t="shared" si="5"/>
        <v>40203</v>
      </c>
      <c r="L27" s="34">
        <f t="shared" si="6"/>
        <v>40235</v>
      </c>
      <c r="M27" s="34">
        <f t="shared" si="7"/>
        <v>40267</v>
      </c>
      <c r="N27" s="34">
        <f t="shared" si="8"/>
        <v>40299</v>
      </c>
      <c r="O27" s="34">
        <f t="shared" si="9"/>
        <v>40331</v>
      </c>
      <c r="P27" s="34">
        <f t="shared" si="10"/>
        <v>40363</v>
      </c>
      <c r="Q27" s="34">
        <f t="shared" si="11"/>
        <v>40395</v>
      </c>
      <c r="R27" s="34">
        <f t="shared" si="12"/>
        <v>40427</v>
      </c>
      <c r="S27" s="34">
        <f t="shared" si="13"/>
        <v>40459</v>
      </c>
      <c r="T27" s="34">
        <f t="shared" si="14"/>
        <v>40491</v>
      </c>
      <c r="U27" s="34">
        <f t="shared" si="15"/>
        <v>40523</v>
      </c>
      <c r="V27" s="34">
        <f t="shared" si="16"/>
        <v>40555</v>
      </c>
      <c r="W27" s="34">
        <f t="shared" si="17"/>
        <v>40587</v>
      </c>
      <c r="X27" s="34">
        <f t="shared" si="18"/>
        <v>40619</v>
      </c>
      <c r="Y27" s="34">
        <f t="shared" si="19"/>
        <v>40651</v>
      </c>
      <c r="Z27" s="34">
        <f t="shared" si="20"/>
        <v>40683</v>
      </c>
      <c r="AA27" s="34">
        <f t="shared" si="21"/>
        <v>40715</v>
      </c>
      <c r="AB27" s="34">
        <f t="shared" si="22"/>
        <v>40747</v>
      </c>
      <c r="AC27" s="34">
        <f t="shared" si="23"/>
        <v>40779</v>
      </c>
      <c r="AD27" s="34">
        <f t="shared" si="24"/>
        <v>40811</v>
      </c>
      <c r="AE27" s="34">
        <f t="shared" si="25"/>
        <v>40843</v>
      </c>
      <c r="AF27" s="34">
        <f t="shared" si="26"/>
        <v>40875</v>
      </c>
      <c r="AG27" s="34">
        <f t="shared" si="27"/>
        <v>40907</v>
      </c>
      <c r="AH27" s="34">
        <f t="shared" si="28"/>
        <v>40939</v>
      </c>
      <c r="AI27" s="35">
        <v>1</v>
      </c>
      <c r="AJ27" s="26" t="str">
        <f>RTD("modbusexcel.rtd",,$A$17,$C$17,IF($E$4="n","D",$D$17),E27,$AI27,$D$3,$B$17)</f>
        <v>87</v>
      </c>
      <c r="AK27" s="26" t="str">
        <f>RTD("modbusexcel.rtd",,$A$17,$C$17,IF($E$4="n","D",$D$17),F27,$AI27,$D$3,$B$17)</f>
        <v>60</v>
      </c>
      <c r="AL27" s="26" t="str">
        <f>RTD("modbusexcel.rtd",,$A$17,$C$17,IF($E$4="n","D",$D$17),G27,$AI27,$D$3,$B$17)</f>
        <v>84</v>
      </c>
      <c r="AM27" s="26" t="str">
        <f>RTD("modbusexcel.rtd",,$A$17,$C$17,IF($E$4="n","D",$D$17),H27,$AI27,$D$3,$B$17)</f>
        <v>84</v>
      </c>
      <c r="AN27" s="26" t="str">
        <f>RTD("modbusexcel.rtd",,$A$17,$C$17,IF($E$4="n","D",$D$17),I27,$AI27,$D$3,$B$17)</f>
        <v>84</v>
      </c>
      <c r="AO27" s="26" t="str">
        <f>RTD("modbusexcel.rtd",,$A$17,$C$17,IF($E$4="n","D",$D$17),J27,$AI27,$D$3,$B$17)</f>
        <v>84</v>
      </c>
      <c r="AP27" s="26" t="str">
        <f>RTD("modbusexcel.rtd",,$A$17,$C$17,IF($E$4="n","D",$D$17),K27,$AI27,$D$3,$B$17)</f>
        <v>84</v>
      </c>
      <c r="AQ27" s="26" t="str">
        <f>RTD("modbusexcel.rtd",,$A$17,$C$17,IF($E$4="n","D",$D$17),L27,$AI27,$D$3,$B$17)</f>
        <v>84</v>
      </c>
      <c r="AR27" s="26" t="str">
        <f>RTD("modbusexcel.rtd",,$A$17,$C$17,IF($E$4="n","D",$D$17),M27,$AI27,$D$3,$B$17)</f>
        <v>84</v>
      </c>
      <c r="AS27" s="26" t="str">
        <f>RTD("modbusexcel.rtd",,$A$17,$C$17,IF($E$4="n","D",$D$17),N27,$AI27,$D$3,$B$17)</f>
        <v>60</v>
      </c>
      <c r="AT27" s="26" t="str">
        <f>RTD("modbusexcel.rtd",,$A$17,$C$17,IF($E$4="n","D",$D$17),O27,$AI27,$D$3,$B$17)</f>
        <v>84</v>
      </c>
      <c r="AU27" s="26" t="str">
        <f>RTD("modbusexcel.rtd",,$A$17,$C$17,IF($E$4="n","D",$D$17),P27,$AI27,$D$3,$B$17)</f>
        <v>84</v>
      </c>
      <c r="AV27" s="26" t="str">
        <f>RTD("modbusexcel.rtd",,$A$17,$C$17,IF($E$4="n","D",$D$17),Q27,$AI27,$D$3,$B$17)</f>
        <v>87</v>
      </c>
      <c r="AW27" s="26" t="str">
        <f>RTD("modbusexcel.rtd",,$A$17,$C$17,IF($E$4="n","D",$D$17),R27,$AI27,$D$3,$B$17)</f>
        <v>60</v>
      </c>
      <c r="AX27" s="26" t="str">
        <f>RTD("modbusexcel.rtd",,$A$17,$C$17,IF($E$4="n","D",$D$17),S27,$AI27,$D$3,$B$17)</f>
        <v>84</v>
      </c>
      <c r="AY27" s="26" t="str">
        <f>RTD("modbusexcel.rtd",,$A$17,$C$17,IF($E$4="n","D",$D$17),T27,$AI27,$D$3,$B$17)</f>
        <v>87</v>
      </c>
      <c r="AZ27" s="26" t="str">
        <f>RTD("modbusexcel.rtd",,$A$17,$C$17,IF($E$4="n","D",$D$17),U27,$AI27,$D$3,$B$17)</f>
        <v>87</v>
      </c>
      <c r="BA27" s="26" t="str">
        <f>RTD("modbusexcel.rtd",,$A$17,$C$17,IF($E$4="n","D",$D$17),V27,$AI27,$D$3,$B$17)</f>
        <v>84</v>
      </c>
      <c r="BB27" s="26" t="str">
        <f>RTD("modbusexcel.rtd",,$A$17,$C$17,IF($E$4="n","D",$D$17),W27,$AI27,$D$3,$B$17)</f>
        <v>84</v>
      </c>
      <c r="BC27" s="26" t="str">
        <f>RTD("modbusexcel.rtd",,$A$17,$C$17,IF($E$4="n","D",$D$17),X27,$AI27,$D$3,$B$17)</f>
        <v>84</v>
      </c>
      <c r="BD27" s="26" t="str">
        <f>RTD("modbusexcel.rtd",,$A$17,$C$17,IF($E$4="n","D",$D$17),Y27,$AI27,$D$3,$B$17)</f>
        <v>84</v>
      </c>
      <c r="BE27" s="26" t="str">
        <f>RTD("modbusexcel.rtd",,$A$17,$C$17,IF($E$4="n","D",$D$17),Z27,$AI27,$D$3,$B$17)</f>
        <v>84</v>
      </c>
      <c r="BF27" s="26" t="str">
        <f>RTD("modbusexcel.rtd",,$A$17,$C$17,IF($E$4="n","D",$D$17),AA27,$AI27,$D$3,$B$17)</f>
        <v>60</v>
      </c>
      <c r="BG27" s="26" t="str">
        <f>RTD("modbusexcel.rtd",,$A$17,$C$17,IF($E$4="n","D",$D$17),AB27,$AI27,$D$3,$B$17)</f>
        <v>84</v>
      </c>
      <c r="BH27" s="26" t="str">
        <f>RTD("modbusexcel.rtd",,$A$17,$C$17,IF($E$4="n","D",$D$17),AC27,$AI27,$D$3,$B$17)</f>
        <v>87</v>
      </c>
      <c r="BI27" s="26" t="str">
        <f>RTD("modbusexcel.rtd",,$A$17,$C$17,IF($E$4="n","D",$D$17),AD27,$AI27,$D$3,$B$17)</f>
        <v>87</v>
      </c>
      <c r="BJ27" s="26" t="str">
        <f>RTD("modbusexcel.rtd",,$A$17,$C$17,IF($E$4="n","D",$D$17),AE27,$AI27,$D$3,$B$17)</f>
        <v>60</v>
      </c>
      <c r="BK27" s="26" t="str">
        <f>RTD("modbusexcel.rtd",,$A$17,$C$17,IF($E$4="n","D",$D$17),AF27,$AI27,$D$3,$B$17)</f>
        <v>84</v>
      </c>
      <c r="BL27" s="26" t="str">
        <f>RTD("modbusexcel.rtd",,$A$17,$C$17,IF($E$4="n","D",$D$17),AG27,$AI27,$D$3,$B$17)</f>
        <v>84</v>
      </c>
      <c r="BM27" s="26" t="str">
        <f>RTD("modbusexcel.rtd",,$A$17,$C$17,IF($E$4="n","D",$D$17),AH27,$AI27,$D$3,$B$17)</f>
        <v>84</v>
      </c>
    </row>
    <row r="28" spans="1:65" s="24" customFormat="1" ht="12" x14ac:dyDescent="0.2">
      <c r="E28" s="37">
        <f t="shared" si="29"/>
        <v>40012</v>
      </c>
      <c r="F28" s="34">
        <f t="shared" si="0"/>
        <v>40044</v>
      </c>
      <c r="G28" s="34">
        <f t="shared" si="1"/>
        <v>40076</v>
      </c>
      <c r="H28" s="34">
        <f t="shared" si="2"/>
        <v>40108</v>
      </c>
      <c r="I28" s="34">
        <f t="shared" si="3"/>
        <v>40140</v>
      </c>
      <c r="J28" s="34">
        <f t="shared" si="4"/>
        <v>40172</v>
      </c>
      <c r="K28" s="34">
        <f t="shared" si="5"/>
        <v>40204</v>
      </c>
      <c r="L28" s="34">
        <f t="shared" si="6"/>
        <v>40236</v>
      </c>
      <c r="M28" s="34">
        <f t="shared" si="7"/>
        <v>40268</v>
      </c>
      <c r="N28" s="34">
        <f t="shared" si="8"/>
        <v>40300</v>
      </c>
      <c r="O28" s="34">
        <f t="shared" si="9"/>
        <v>40332</v>
      </c>
      <c r="P28" s="34">
        <f t="shared" si="10"/>
        <v>40364</v>
      </c>
      <c r="Q28" s="34">
        <f t="shared" si="11"/>
        <v>40396</v>
      </c>
      <c r="R28" s="34">
        <f t="shared" si="12"/>
        <v>40428</v>
      </c>
      <c r="S28" s="34">
        <f t="shared" si="13"/>
        <v>40460</v>
      </c>
      <c r="T28" s="34">
        <f t="shared" si="14"/>
        <v>40492</v>
      </c>
      <c r="U28" s="34">
        <f t="shared" si="15"/>
        <v>40524</v>
      </c>
      <c r="V28" s="34">
        <f t="shared" si="16"/>
        <v>40556</v>
      </c>
      <c r="W28" s="34">
        <f t="shared" si="17"/>
        <v>40588</v>
      </c>
      <c r="X28" s="34">
        <f t="shared" si="18"/>
        <v>40620</v>
      </c>
      <c r="Y28" s="34">
        <f t="shared" si="19"/>
        <v>40652</v>
      </c>
      <c r="Z28" s="34">
        <f t="shared" si="20"/>
        <v>40684</v>
      </c>
      <c r="AA28" s="34">
        <f t="shared" si="21"/>
        <v>40716</v>
      </c>
      <c r="AB28" s="34">
        <f t="shared" si="22"/>
        <v>40748</v>
      </c>
      <c r="AC28" s="34">
        <f t="shared" si="23"/>
        <v>40780</v>
      </c>
      <c r="AD28" s="34">
        <f t="shared" si="24"/>
        <v>40812</v>
      </c>
      <c r="AE28" s="34">
        <f t="shared" si="25"/>
        <v>40844</v>
      </c>
      <c r="AF28" s="34">
        <f t="shared" si="26"/>
        <v>40876</v>
      </c>
      <c r="AG28" s="34">
        <f t="shared" si="27"/>
        <v>40908</v>
      </c>
      <c r="AH28" s="34">
        <f t="shared" si="28"/>
        <v>40940</v>
      </c>
      <c r="AI28" s="35">
        <v>1</v>
      </c>
      <c r="AJ28" s="26" t="str">
        <f>RTD("modbusexcel.rtd",,$A$17,$C$17,IF($E$4="n","D",$D$17),E28,$AI28,$D$3,$B$17)</f>
        <v>60</v>
      </c>
      <c r="AK28" s="26" t="str">
        <f>RTD("modbusexcel.rtd",,$A$17,$C$17,IF($E$4="n","D",$D$17),F28,$AI28,$D$3,$B$17)</f>
        <v>84</v>
      </c>
      <c r="AL28" s="26" t="str">
        <f>RTD("modbusexcel.rtd",,$A$17,$C$17,IF($E$4="n","D",$D$17),G28,$AI28,$D$3,$B$17)</f>
        <v>87</v>
      </c>
      <c r="AM28" s="26" t="str">
        <f>RTD("modbusexcel.rtd",,$A$17,$C$17,IF($E$4="n","D",$D$17),H28,$AI28,$D$3,$B$17)</f>
        <v>87</v>
      </c>
      <c r="AN28" s="26" t="str">
        <f>RTD("modbusexcel.rtd",,$A$17,$C$17,IF($E$4="n","D",$D$17),I28,$AI28,$D$3,$B$17)</f>
        <v>60</v>
      </c>
      <c r="AO28" s="26" t="str">
        <f>RTD("modbusexcel.rtd",,$A$17,$C$17,IF($E$4="n","D",$D$17),J28,$AI28,$D$3,$B$17)</f>
        <v>84</v>
      </c>
      <c r="AP28" s="26" t="str">
        <f>RTD("modbusexcel.rtd",,$A$17,$C$17,IF($E$4="n","D",$D$17),K28,$AI28,$D$3,$B$17)</f>
        <v>84</v>
      </c>
      <c r="AQ28" s="26" t="str">
        <f>RTD("modbusexcel.rtd",,$A$17,$C$17,IF($E$4="n","D",$D$17),L28,$AI28,$D$3,$B$17)</f>
        <v>84</v>
      </c>
      <c r="AR28" s="26" t="str">
        <f>RTD("modbusexcel.rtd",,$A$17,$C$17,IF($E$4="n","D",$D$17),M28,$AI28,$D$3,$B$17)</f>
        <v>84</v>
      </c>
      <c r="AS28" s="26" t="str">
        <f>RTD("modbusexcel.rtd",,$A$17,$C$17,IF($E$4="n","D",$D$17),N28,$AI28,$D$3,$B$17)</f>
        <v>84</v>
      </c>
      <c r="AT28" s="26" t="str">
        <f>RTD("modbusexcel.rtd",,$A$17,$C$17,IF($E$4="n","D",$D$17),O28,$AI28,$D$3,$B$17)</f>
        <v>84</v>
      </c>
      <c r="AU28" s="26" t="str">
        <f>RTD("modbusexcel.rtd",,$A$17,$C$17,IF($E$4="n","D",$D$17),P28,$AI28,$D$3,$B$17)</f>
        <v>84</v>
      </c>
      <c r="AV28" s="26" t="str">
        <f>RTD("modbusexcel.rtd",,$A$17,$C$17,IF($E$4="n","D",$D$17),Q28,$AI28,$D$3,$B$17)</f>
        <v>60</v>
      </c>
      <c r="AW28" s="26" t="str">
        <f>RTD("modbusexcel.rtd",,$A$17,$C$17,IF($E$4="n","D",$D$17),R28,$AI28,$D$3,$B$17)</f>
        <v>84</v>
      </c>
      <c r="AX28" s="26" t="str">
        <f>RTD("modbusexcel.rtd",,$A$17,$C$17,IF($E$4="n","D",$D$17),S28,$AI28,$D$3,$B$17)</f>
        <v>84</v>
      </c>
      <c r="AY28" s="26" t="str">
        <f>RTD("modbusexcel.rtd",,$A$17,$C$17,IF($E$4="n","D",$D$17),T28,$AI28,$D$3,$B$17)</f>
        <v>87</v>
      </c>
      <c r="AZ28" s="26" t="str">
        <f>RTD("modbusexcel.rtd",,$A$17,$C$17,IF($E$4="n","D",$D$17),U28,$AI28,$D$3,$B$17)</f>
        <v>87</v>
      </c>
      <c r="BA28" s="26" t="str">
        <f>RTD("modbusexcel.rtd",,$A$17,$C$17,IF($E$4="n","D",$D$17),V28,$AI28,$D$3,$B$17)</f>
        <v>84</v>
      </c>
      <c r="BB28" s="26" t="str">
        <f>RTD("modbusexcel.rtd",,$A$17,$C$17,IF($E$4="n","D",$D$17),W28,$AI28,$D$3,$B$17)</f>
        <v>84</v>
      </c>
      <c r="BC28" s="26" t="str">
        <f>RTD("modbusexcel.rtd",,$A$17,$C$17,IF($E$4="n","D",$D$17),X28,$AI28,$D$3,$B$17)</f>
        <v>87</v>
      </c>
      <c r="BD28" s="26" t="str">
        <f>RTD("modbusexcel.rtd",,$A$17,$C$17,IF($E$4="n","D",$D$17),Y28,$AI28,$D$3,$B$17)</f>
        <v>84</v>
      </c>
      <c r="BE28" s="26" t="str">
        <f>RTD("modbusexcel.rtd",,$A$17,$C$17,IF($E$4="n","D",$D$17),Z28,$AI28,$D$3,$B$17)</f>
        <v>84</v>
      </c>
      <c r="BF28" s="26" t="str">
        <f>RTD("modbusexcel.rtd",,$A$17,$C$17,IF($E$4="n","D",$D$17),AA28,$AI28,$D$3,$B$17)</f>
        <v>84</v>
      </c>
      <c r="BG28" s="26" t="str">
        <f>RTD("modbusexcel.rtd",,$A$17,$C$17,IF($E$4="n","D",$D$17),AB28,$AI28,$D$3,$B$17)</f>
        <v>84</v>
      </c>
      <c r="BH28" s="26" t="str">
        <f>RTD("modbusexcel.rtd",,$A$17,$C$17,IF($E$4="n","D",$D$17),AC28,$AI28,$D$3,$B$17)</f>
        <v>84</v>
      </c>
      <c r="BI28" s="26" t="str">
        <f>RTD("modbusexcel.rtd",,$A$17,$C$17,IF($E$4="n","D",$D$17),AD28,$AI28,$D$3,$B$17)</f>
        <v>60</v>
      </c>
      <c r="BJ28" s="26" t="str">
        <f>RTD("modbusexcel.rtd",,$A$17,$C$17,IF($E$4="n","D",$D$17),AE28,$AI28,$D$3,$B$17)</f>
        <v>84</v>
      </c>
      <c r="BK28" s="26" t="str">
        <f>RTD("modbusexcel.rtd",,$A$17,$C$17,IF($E$4="n","D",$D$17),AF28,$AI28,$D$3,$B$17)</f>
        <v>87</v>
      </c>
      <c r="BL28" s="26" t="str">
        <f>RTD("modbusexcel.rtd",,$A$17,$C$17,IF($E$4="n","D",$D$17),AG28,$AI28,$D$3,$B$17)</f>
        <v>87</v>
      </c>
      <c r="BM28" s="26" t="str">
        <f>RTD("modbusexcel.rtd",,$A$17,$C$17,IF($E$4="n","D",$D$17),AH28,$AI28,$D$3,$B$17)</f>
        <v>60</v>
      </c>
    </row>
    <row r="29" spans="1:65" s="24" customFormat="1" ht="12" x14ac:dyDescent="0.2">
      <c r="E29" s="37">
        <f t="shared" si="29"/>
        <v>40013</v>
      </c>
      <c r="F29" s="34">
        <f t="shared" si="0"/>
        <v>40045</v>
      </c>
      <c r="G29" s="34">
        <f t="shared" si="1"/>
        <v>40077</v>
      </c>
      <c r="H29" s="34">
        <f t="shared" si="2"/>
        <v>40109</v>
      </c>
      <c r="I29" s="34">
        <f t="shared" si="3"/>
        <v>40141</v>
      </c>
      <c r="J29" s="34">
        <f t="shared" si="4"/>
        <v>40173</v>
      </c>
      <c r="K29" s="34">
        <f t="shared" si="5"/>
        <v>40205</v>
      </c>
      <c r="L29" s="34">
        <f t="shared" si="6"/>
        <v>40237</v>
      </c>
      <c r="M29" s="34">
        <f t="shared" si="7"/>
        <v>40269</v>
      </c>
      <c r="N29" s="34">
        <f t="shared" si="8"/>
        <v>40301</v>
      </c>
      <c r="O29" s="34">
        <f t="shared" si="9"/>
        <v>40333</v>
      </c>
      <c r="P29" s="34">
        <f t="shared" si="10"/>
        <v>40365</v>
      </c>
      <c r="Q29" s="34">
        <f t="shared" si="11"/>
        <v>40397</v>
      </c>
      <c r="R29" s="34">
        <f t="shared" si="12"/>
        <v>40429</v>
      </c>
      <c r="S29" s="34">
        <f t="shared" si="13"/>
        <v>40461</v>
      </c>
      <c r="T29" s="34">
        <f t="shared" si="14"/>
        <v>40493</v>
      </c>
      <c r="U29" s="34">
        <f t="shared" si="15"/>
        <v>40525</v>
      </c>
      <c r="V29" s="34">
        <f t="shared" si="16"/>
        <v>40557</v>
      </c>
      <c r="W29" s="34">
        <f t="shared" si="17"/>
        <v>40589</v>
      </c>
      <c r="X29" s="34">
        <f t="shared" si="18"/>
        <v>40621</v>
      </c>
      <c r="Y29" s="34">
        <f t="shared" si="19"/>
        <v>40653</v>
      </c>
      <c r="Z29" s="34">
        <f t="shared" si="20"/>
        <v>40685</v>
      </c>
      <c r="AA29" s="34">
        <f t="shared" si="21"/>
        <v>40717</v>
      </c>
      <c r="AB29" s="34">
        <f t="shared" si="22"/>
        <v>40749</v>
      </c>
      <c r="AC29" s="34">
        <f t="shared" si="23"/>
        <v>40781</v>
      </c>
      <c r="AD29" s="34">
        <f t="shared" si="24"/>
        <v>40813</v>
      </c>
      <c r="AE29" s="34">
        <f t="shared" si="25"/>
        <v>40845</v>
      </c>
      <c r="AF29" s="34">
        <f t="shared" si="26"/>
        <v>40877</v>
      </c>
      <c r="AG29" s="34">
        <f t="shared" si="27"/>
        <v>40909</v>
      </c>
      <c r="AH29" s="34">
        <f t="shared" si="28"/>
        <v>40941</v>
      </c>
      <c r="AI29" s="35">
        <v>1</v>
      </c>
      <c r="AJ29" s="26" t="str">
        <f>RTD("modbusexcel.rtd",,$A$17,$C$17,IF($E$4="n","D",$D$17),E29,$AI29,$D$3,$B$17)</f>
        <v>87</v>
      </c>
      <c r="AK29" s="26" t="str">
        <f>RTD("modbusexcel.rtd",,$A$17,$C$17,IF($E$4="n","D",$D$17),F29,$AI29,$D$3,$B$17)</f>
        <v>84</v>
      </c>
      <c r="AL29" s="26" t="str">
        <f>RTD("modbusexcel.rtd",,$A$17,$C$17,IF($E$4="n","D",$D$17),G29,$AI29,$D$3,$B$17)</f>
        <v>87</v>
      </c>
      <c r="AM29" s="26" t="str">
        <f>RTD("modbusexcel.rtd",,$A$17,$C$17,IF($E$4="n","D",$D$17),H29,$AI29,$D$3,$B$17)</f>
        <v>84</v>
      </c>
      <c r="AN29" s="26" t="str">
        <f>RTD("modbusexcel.rtd",,$A$17,$C$17,IF($E$4="n","D",$D$17),I29,$AI29,$D$3,$B$17)</f>
        <v>60</v>
      </c>
      <c r="AO29" s="26" t="str">
        <f>RTD("modbusexcel.rtd",,$A$17,$C$17,IF($E$4="n","D",$D$17),J29,$AI29,$D$3,$B$17)</f>
        <v>84</v>
      </c>
      <c r="AP29" s="26" t="str">
        <f>RTD("modbusexcel.rtd",,$A$17,$C$17,IF($E$4="n","D",$D$17),K29,$AI29,$D$3,$B$17)</f>
        <v>84</v>
      </c>
      <c r="AQ29" s="26" t="str">
        <f>RTD("modbusexcel.rtd",,$A$17,$C$17,IF($E$4="n","D",$D$17),L29,$AI29,$D$3,$B$17)</f>
        <v>84</v>
      </c>
      <c r="AR29" s="26" t="str">
        <f>RTD("modbusexcel.rtd",,$A$17,$C$17,IF($E$4="n","D",$D$17),M29,$AI29,$D$3,$B$17)</f>
        <v>84</v>
      </c>
      <c r="AS29" s="26" t="str">
        <f>RTD("modbusexcel.rtd",,$A$17,$C$17,IF($E$4="n","D",$D$17),N29,$AI29,$D$3,$B$17)</f>
        <v>84</v>
      </c>
      <c r="AT29" s="26" t="str">
        <f>RTD("modbusexcel.rtd",,$A$17,$C$17,IF($E$4="n","D",$D$17),O29,$AI29,$D$3,$B$17)</f>
        <v>84</v>
      </c>
      <c r="AU29" s="26" t="str">
        <f>RTD("modbusexcel.rtd",,$A$17,$C$17,IF($E$4="n","D",$D$17),P29,$AI29,$D$3,$B$17)</f>
        <v>84</v>
      </c>
      <c r="AV29" s="26" t="str">
        <f>RTD("modbusexcel.rtd",,$A$17,$C$17,IF($E$4="n","D",$D$17),Q29,$AI29,$D$3,$B$17)</f>
        <v>60</v>
      </c>
      <c r="AW29" s="26" t="str">
        <f>RTD("modbusexcel.rtd",,$A$17,$C$17,IF($E$4="n","D",$D$17),R29,$AI29,$D$3,$B$17)</f>
        <v>60</v>
      </c>
      <c r="AX29" s="26" t="str">
        <f>RTD("modbusexcel.rtd",,$A$17,$C$17,IF($E$4="n","D",$D$17),S29,$AI29,$D$3,$B$17)</f>
        <v>84</v>
      </c>
      <c r="AY29" s="26" t="str">
        <f>RTD("modbusexcel.rtd",,$A$17,$C$17,IF($E$4="n","D",$D$17),T29,$AI29,$D$3,$B$17)</f>
        <v>87</v>
      </c>
      <c r="AZ29" s="26" t="str">
        <f>RTD("modbusexcel.rtd",,$A$17,$C$17,IF($E$4="n","D",$D$17),U29,$AI29,$D$3,$B$17)</f>
        <v>87</v>
      </c>
      <c r="BA29" s="26" t="str">
        <f>RTD("modbusexcel.rtd",,$A$17,$C$17,IF($E$4="n","D",$D$17),V29,$AI29,$D$3,$B$17)</f>
        <v>84</v>
      </c>
      <c r="BB29" s="26" t="str">
        <f>RTD("modbusexcel.rtd",,$A$17,$C$17,IF($E$4="n","D",$D$17),W29,$AI29,$D$3,$B$17)</f>
        <v>84</v>
      </c>
      <c r="BC29" s="26" t="str">
        <f>RTD("modbusexcel.rtd",,$A$17,$C$17,IF($E$4="n","D",$D$17),X29,$AI29,$D$3,$B$17)</f>
        <v>87</v>
      </c>
      <c r="BD29" s="26" t="str">
        <f>RTD("modbusexcel.rtd",,$A$17,$C$17,IF($E$4="n","D",$D$17),Y29,$AI29,$D$3,$B$17)</f>
        <v>84</v>
      </c>
      <c r="BE29" s="26" t="str">
        <f>RTD("modbusexcel.rtd",,$A$17,$C$17,IF($E$4="n","D",$D$17),Z29,$AI29,$D$3,$B$17)</f>
        <v>84</v>
      </c>
      <c r="BF29" s="26" t="str">
        <f>RTD("modbusexcel.rtd",,$A$17,$C$17,IF($E$4="n","D",$D$17),AA29,$AI29,$D$3,$B$17)</f>
        <v>84</v>
      </c>
      <c r="BG29" s="26" t="str">
        <f>RTD("modbusexcel.rtd",,$A$17,$C$17,IF($E$4="n","D",$D$17),AB29,$AI29,$D$3,$B$17)</f>
        <v>84</v>
      </c>
      <c r="BH29" s="26" t="str">
        <f>RTD("modbusexcel.rtd",,$A$17,$C$17,IF($E$4="n","D",$D$17),AC29,$AI29,$D$3,$B$17)</f>
        <v>84</v>
      </c>
      <c r="BI29" s="26" t="str">
        <f>RTD("modbusexcel.rtd",,$A$17,$C$17,IF($E$4="n","D",$D$17),AD29,$AI29,$D$3,$B$17)</f>
        <v>87</v>
      </c>
      <c r="BJ29" s="26" t="str">
        <f>RTD("modbusexcel.rtd",,$A$17,$C$17,IF($E$4="n","D",$D$17),AE29,$AI29,$D$3,$B$17)</f>
        <v>84</v>
      </c>
      <c r="BK29" s="26" t="str">
        <f>RTD("modbusexcel.rtd",,$A$17,$C$17,IF($E$4="n","D",$D$17),AF29,$AI29,$D$3,$B$17)</f>
        <v>87</v>
      </c>
      <c r="BL29" s="26" t="str">
        <f>RTD("modbusexcel.rtd",,$A$17,$C$17,IF($E$4="n","D",$D$17),AG29,$AI29,$D$3,$B$17)</f>
        <v>84</v>
      </c>
      <c r="BM29" s="26" t="str">
        <f>RTD("modbusexcel.rtd",,$A$17,$C$17,IF($E$4="n","D",$D$17),AH29,$AI29,$D$3,$B$17)</f>
        <v>60</v>
      </c>
    </row>
    <row r="30" spans="1:65" s="24" customFormat="1" ht="12" x14ac:dyDescent="0.2">
      <c r="E30" s="37">
        <f t="shared" si="29"/>
        <v>40014</v>
      </c>
      <c r="F30" s="34">
        <f t="shared" si="0"/>
        <v>40046</v>
      </c>
      <c r="G30" s="34">
        <f t="shared" si="1"/>
        <v>40078</v>
      </c>
      <c r="H30" s="34">
        <f t="shared" si="2"/>
        <v>40110</v>
      </c>
      <c r="I30" s="34">
        <f t="shared" si="3"/>
        <v>40142</v>
      </c>
      <c r="J30" s="34">
        <f t="shared" si="4"/>
        <v>40174</v>
      </c>
      <c r="K30" s="34">
        <f t="shared" si="5"/>
        <v>40206</v>
      </c>
      <c r="L30" s="34">
        <f t="shared" si="6"/>
        <v>40238</v>
      </c>
      <c r="M30" s="34">
        <f t="shared" si="7"/>
        <v>40270</v>
      </c>
      <c r="N30" s="34">
        <f t="shared" si="8"/>
        <v>40302</v>
      </c>
      <c r="O30" s="34">
        <f t="shared" si="9"/>
        <v>40334</v>
      </c>
      <c r="P30" s="34">
        <f t="shared" si="10"/>
        <v>40366</v>
      </c>
      <c r="Q30" s="34">
        <f t="shared" si="11"/>
        <v>40398</v>
      </c>
      <c r="R30" s="34">
        <f t="shared" si="12"/>
        <v>40430</v>
      </c>
      <c r="S30" s="34">
        <f t="shared" si="13"/>
        <v>40462</v>
      </c>
      <c r="T30" s="34">
        <f t="shared" si="14"/>
        <v>40494</v>
      </c>
      <c r="U30" s="34">
        <f t="shared" si="15"/>
        <v>40526</v>
      </c>
      <c r="V30" s="34">
        <f t="shared" si="16"/>
        <v>40558</v>
      </c>
      <c r="W30" s="34">
        <f t="shared" si="17"/>
        <v>40590</v>
      </c>
      <c r="X30" s="34">
        <f t="shared" si="18"/>
        <v>40622</v>
      </c>
      <c r="Y30" s="34">
        <f t="shared" si="19"/>
        <v>40654</v>
      </c>
      <c r="Z30" s="34">
        <f t="shared" si="20"/>
        <v>40686</v>
      </c>
      <c r="AA30" s="34">
        <f t="shared" si="21"/>
        <v>40718</v>
      </c>
      <c r="AB30" s="34">
        <f t="shared" si="22"/>
        <v>40750</v>
      </c>
      <c r="AC30" s="34">
        <f t="shared" si="23"/>
        <v>40782</v>
      </c>
      <c r="AD30" s="34">
        <f t="shared" si="24"/>
        <v>40814</v>
      </c>
      <c r="AE30" s="34">
        <f t="shared" si="25"/>
        <v>40846</v>
      </c>
      <c r="AF30" s="34">
        <f t="shared" si="26"/>
        <v>40878</v>
      </c>
      <c r="AG30" s="34">
        <f t="shared" si="27"/>
        <v>40910</v>
      </c>
      <c r="AH30" s="34">
        <f t="shared" si="28"/>
        <v>40942</v>
      </c>
      <c r="AI30" s="35">
        <v>1</v>
      </c>
      <c r="AJ30" s="26" t="str">
        <f>RTD("modbusexcel.rtd",,$A$17,$C$17,IF($E$4="n","D",$D$17),E30,$AI30,$D$3,$B$17)</f>
        <v>60</v>
      </c>
      <c r="AK30" s="26" t="str">
        <f>RTD("modbusexcel.rtd",,$A$17,$C$17,IF($E$4="n","D",$D$17),F30,$AI30,$D$3,$B$17)</f>
        <v>84</v>
      </c>
      <c r="AL30" s="26" t="str">
        <f>RTD("modbusexcel.rtd",,$A$17,$C$17,IF($E$4="n","D",$D$17),G30,$AI30,$D$3,$B$17)</f>
        <v>87</v>
      </c>
      <c r="AM30" s="26" t="str">
        <f>RTD("modbusexcel.rtd",,$A$17,$C$17,IF($E$4="n","D",$D$17),H30,$AI30,$D$3,$B$17)</f>
        <v>87</v>
      </c>
      <c r="AN30" s="26" t="str">
        <f>RTD("modbusexcel.rtd",,$A$17,$C$17,IF($E$4="n","D",$D$17),I30,$AI30,$D$3,$B$17)</f>
        <v>84</v>
      </c>
      <c r="AO30" s="26" t="str">
        <f>RTD("modbusexcel.rtd",,$A$17,$C$17,IF($E$4="n","D",$D$17),J30,$AI30,$D$3,$B$17)</f>
        <v>84</v>
      </c>
      <c r="AP30" s="26" t="str">
        <f>RTD("modbusexcel.rtd",,$A$17,$C$17,IF($E$4="n","D",$D$17),K30,$AI30,$D$3,$B$17)</f>
        <v>84</v>
      </c>
      <c r="AQ30" s="26" t="str">
        <f>RTD("modbusexcel.rtd",,$A$17,$C$17,IF($E$4="n","D",$D$17),L30,$AI30,$D$3,$B$17)</f>
        <v>84</v>
      </c>
      <c r="AR30" s="26" t="str">
        <f>RTD("modbusexcel.rtd",,$A$17,$C$17,IF($E$4="n","D",$D$17),M30,$AI30,$D$3,$B$17)</f>
        <v>84</v>
      </c>
      <c r="AS30" s="26" t="str">
        <f>RTD("modbusexcel.rtd",,$A$17,$C$17,IF($E$4="n","D",$D$17),N30,$AI30,$D$3,$B$17)</f>
        <v>84</v>
      </c>
      <c r="AT30" s="26" t="str">
        <f>RTD("modbusexcel.rtd",,$A$17,$C$17,IF($E$4="n","D",$D$17),O30,$AI30,$D$3,$B$17)</f>
        <v>84</v>
      </c>
      <c r="AU30" s="26" t="str">
        <f>RTD("modbusexcel.rtd",,$A$17,$C$17,IF($E$4="n","D",$D$17),P30,$AI30,$D$3,$B$17)</f>
        <v>84</v>
      </c>
      <c r="AV30" s="26" t="str">
        <f>RTD("modbusexcel.rtd",,$A$17,$C$17,IF($E$4="n","D",$D$17),Q30,$AI30,$D$3,$B$17)</f>
        <v>60</v>
      </c>
      <c r="AW30" s="26" t="str">
        <f>RTD("modbusexcel.rtd",,$A$17,$C$17,IF($E$4="n","D",$D$17),R30,$AI30,$D$3,$B$17)</f>
        <v>84</v>
      </c>
      <c r="AX30" s="26" t="str">
        <f>RTD("modbusexcel.rtd",,$A$17,$C$17,IF($E$4="n","D",$D$17),S30,$AI30,$D$3,$B$17)</f>
        <v>84</v>
      </c>
      <c r="AY30" s="26" t="str">
        <f>RTD("modbusexcel.rtd",,$A$17,$C$17,IF($E$4="n","D",$D$17),T30,$AI30,$D$3,$B$17)</f>
        <v>87</v>
      </c>
      <c r="AZ30" s="26" t="str">
        <f>RTD("modbusexcel.rtd",,$A$17,$C$17,IF($E$4="n","D",$D$17),U30,$AI30,$D$3,$B$17)</f>
        <v>60</v>
      </c>
      <c r="BA30" s="26" t="str">
        <f>RTD("modbusexcel.rtd",,$A$17,$C$17,IF($E$4="n","D",$D$17),V30,$AI30,$D$3,$B$17)</f>
        <v>84</v>
      </c>
      <c r="BB30" s="26" t="str">
        <f>RTD("modbusexcel.rtd",,$A$17,$C$17,IF($E$4="n","D",$D$17),W30,$AI30,$D$3,$B$17)</f>
        <v>87</v>
      </c>
      <c r="BC30" s="26" t="str">
        <f>RTD("modbusexcel.rtd",,$A$17,$C$17,IF($E$4="n","D",$D$17),X30,$AI30,$D$3,$B$17)</f>
        <v>87</v>
      </c>
      <c r="BD30" s="26" t="str">
        <f>RTD("modbusexcel.rtd",,$A$17,$C$17,IF($E$4="n","D",$D$17),Y30,$AI30,$D$3,$B$17)</f>
        <v>84</v>
      </c>
      <c r="BE30" s="26" t="str">
        <f>RTD("modbusexcel.rtd",,$A$17,$C$17,IF($E$4="n","D",$D$17),Z30,$AI30,$D$3,$B$17)</f>
        <v>84</v>
      </c>
      <c r="BF30" s="26" t="str">
        <f>RTD("modbusexcel.rtd",,$A$17,$C$17,IF($E$4="n","D",$D$17),AA30,$AI30,$D$3,$B$17)</f>
        <v>84</v>
      </c>
      <c r="BG30" s="26" t="str">
        <f>RTD("modbusexcel.rtd",,$A$17,$C$17,IF($E$4="n","D",$D$17),AB30,$AI30,$D$3,$B$17)</f>
        <v>84</v>
      </c>
      <c r="BH30" s="26" t="str">
        <f>RTD("modbusexcel.rtd",,$A$17,$C$17,IF($E$4="n","D",$D$17),AC30,$AI30,$D$3,$B$17)</f>
        <v>84</v>
      </c>
      <c r="BI30" s="26" t="str">
        <f>RTD("modbusexcel.rtd",,$A$17,$C$17,IF($E$4="n","D",$D$17),AD30,$AI30,$D$3,$B$17)</f>
        <v>60</v>
      </c>
      <c r="BJ30" s="26" t="str">
        <f>RTD("modbusexcel.rtd",,$A$17,$C$17,IF($E$4="n","D",$D$17),AE30,$AI30,$D$3,$B$17)</f>
        <v>84</v>
      </c>
      <c r="BK30" s="26" t="str">
        <f>RTD("modbusexcel.rtd",,$A$17,$C$17,IF($E$4="n","D",$D$17),AF30,$AI30,$D$3,$B$17)</f>
        <v>87</v>
      </c>
      <c r="BL30" s="26" t="str">
        <f>RTD("modbusexcel.rtd",,$A$17,$C$17,IF($E$4="n","D",$D$17),AG30,$AI30,$D$3,$B$17)</f>
        <v>87</v>
      </c>
      <c r="BM30" s="26" t="str">
        <f>RTD("modbusexcel.rtd",,$A$17,$C$17,IF($E$4="n","D",$D$17),AH30,$AI30,$D$3,$B$17)</f>
        <v>84</v>
      </c>
    </row>
    <row r="31" spans="1:65" s="24" customFormat="1" ht="12" x14ac:dyDescent="0.2">
      <c r="E31" s="37">
        <f t="shared" si="29"/>
        <v>40015</v>
      </c>
      <c r="F31" s="34">
        <f t="shared" si="0"/>
        <v>40047</v>
      </c>
      <c r="G31" s="34">
        <f t="shared" si="1"/>
        <v>40079</v>
      </c>
      <c r="H31" s="34">
        <f t="shared" si="2"/>
        <v>40111</v>
      </c>
      <c r="I31" s="34">
        <f t="shared" si="3"/>
        <v>40143</v>
      </c>
      <c r="J31" s="34">
        <f t="shared" si="4"/>
        <v>40175</v>
      </c>
      <c r="K31" s="34">
        <f t="shared" si="5"/>
        <v>40207</v>
      </c>
      <c r="L31" s="34">
        <f t="shared" si="6"/>
        <v>40239</v>
      </c>
      <c r="M31" s="34">
        <f t="shared" si="7"/>
        <v>40271</v>
      </c>
      <c r="N31" s="34">
        <f t="shared" si="8"/>
        <v>40303</v>
      </c>
      <c r="O31" s="34">
        <f t="shared" si="9"/>
        <v>40335</v>
      </c>
      <c r="P31" s="34">
        <f t="shared" si="10"/>
        <v>40367</v>
      </c>
      <c r="Q31" s="34">
        <f t="shared" si="11"/>
        <v>40399</v>
      </c>
      <c r="R31" s="34">
        <f t="shared" si="12"/>
        <v>40431</v>
      </c>
      <c r="S31" s="34">
        <f t="shared" si="13"/>
        <v>40463</v>
      </c>
      <c r="T31" s="34">
        <f t="shared" si="14"/>
        <v>40495</v>
      </c>
      <c r="U31" s="34">
        <f t="shared" si="15"/>
        <v>40527</v>
      </c>
      <c r="V31" s="34">
        <f t="shared" si="16"/>
        <v>40559</v>
      </c>
      <c r="W31" s="34">
        <f t="shared" si="17"/>
        <v>40591</v>
      </c>
      <c r="X31" s="34">
        <f t="shared" si="18"/>
        <v>40623</v>
      </c>
      <c r="Y31" s="34">
        <f t="shared" si="19"/>
        <v>40655</v>
      </c>
      <c r="Z31" s="34">
        <f t="shared" si="20"/>
        <v>40687</v>
      </c>
      <c r="AA31" s="34">
        <f t="shared" si="21"/>
        <v>40719</v>
      </c>
      <c r="AB31" s="34">
        <f t="shared" si="22"/>
        <v>40751</v>
      </c>
      <c r="AC31" s="34">
        <f t="shared" si="23"/>
        <v>40783</v>
      </c>
      <c r="AD31" s="34">
        <f t="shared" si="24"/>
        <v>40815</v>
      </c>
      <c r="AE31" s="34">
        <f t="shared" si="25"/>
        <v>40847</v>
      </c>
      <c r="AF31" s="34">
        <f t="shared" si="26"/>
        <v>40879</v>
      </c>
      <c r="AG31" s="34">
        <f t="shared" si="27"/>
        <v>40911</v>
      </c>
      <c r="AH31" s="34">
        <f t="shared" si="28"/>
        <v>40943</v>
      </c>
      <c r="AI31" s="35">
        <v>1</v>
      </c>
      <c r="AJ31" s="26" t="str">
        <f>RTD("modbusexcel.rtd",,$A$17,$C$17,IF($E$4="n","D",$D$17),E31,$AI31,$D$3,$B$17)</f>
        <v>60</v>
      </c>
      <c r="AK31" s="26" t="str">
        <f>RTD("modbusexcel.rtd",,$A$17,$C$17,IF($E$4="n","D",$D$17),F31,$AI31,$D$3,$B$17)</f>
        <v>84</v>
      </c>
      <c r="AL31" s="26" t="str">
        <f>RTD("modbusexcel.rtd",,$A$17,$C$17,IF($E$4="n","D",$D$17),G31,$AI31,$D$3,$B$17)</f>
        <v>87</v>
      </c>
      <c r="AM31" s="26" t="str">
        <f>RTD("modbusexcel.rtd",,$A$17,$C$17,IF($E$4="n","D",$D$17),H31,$AI31,$D$3,$B$17)</f>
        <v>87</v>
      </c>
      <c r="AN31" s="26" t="str">
        <f>RTD("modbusexcel.rtd",,$A$17,$C$17,IF($E$4="n","D",$D$17),I31,$AI31,$D$3,$B$17)</f>
        <v>60</v>
      </c>
      <c r="AO31" s="26" t="str">
        <f>RTD("modbusexcel.rtd",,$A$17,$C$17,IF($E$4="n","D",$D$17),J31,$AI31,$D$3,$B$17)</f>
        <v>84</v>
      </c>
      <c r="AP31" s="26" t="str">
        <f>RTD("modbusexcel.rtd",,$A$17,$C$17,IF($E$4="n","D",$D$17),K31,$AI31,$D$3,$B$17)</f>
        <v>84</v>
      </c>
      <c r="AQ31" s="26" t="str">
        <f>RTD("modbusexcel.rtd",,$A$17,$C$17,IF($E$4="n","D",$D$17),L31,$AI31,$D$3,$B$17)</f>
        <v>84</v>
      </c>
      <c r="AR31" s="26" t="str">
        <f>RTD("modbusexcel.rtd",,$A$17,$C$17,IF($E$4="n","D",$D$17),M31,$AI31,$D$3,$B$17)</f>
        <v>84</v>
      </c>
      <c r="AS31" s="26" t="str">
        <f>RTD("modbusexcel.rtd",,$A$17,$C$17,IF($E$4="n","D",$D$17),N31,$AI31,$D$3,$B$17)</f>
        <v>84</v>
      </c>
      <c r="AT31" s="26" t="str">
        <f>RTD("modbusexcel.rtd",,$A$17,$C$17,IF($E$4="n","D",$D$17),O31,$AI31,$D$3,$B$17)</f>
        <v>84</v>
      </c>
      <c r="AU31" s="26" t="str">
        <f>RTD("modbusexcel.rtd",,$A$17,$C$17,IF($E$4="n","D",$D$17),P31,$AI31,$D$3,$B$17)</f>
        <v>84</v>
      </c>
      <c r="AV31" s="26" t="str">
        <f>RTD("modbusexcel.rtd",,$A$17,$C$17,IF($E$4="n","D",$D$17),Q31,$AI31,$D$3,$B$17)</f>
        <v>60</v>
      </c>
      <c r="AW31" s="26" t="str">
        <f>RTD("modbusexcel.rtd",,$A$17,$C$17,IF($E$4="n","D",$D$17),R31,$AI31,$D$3,$B$17)</f>
        <v>84</v>
      </c>
      <c r="AX31" s="26" t="str">
        <f>RTD("modbusexcel.rtd",,$A$17,$C$17,IF($E$4="n","D",$D$17),S31,$AI31,$D$3,$B$17)</f>
        <v>84</v>
      </c>
      <c r="AY31" s="26" t="str">
        <f>RTD("modbusexcel.rtd",,$A$17,$C$17,IF($E$4="n","D",$D$17),T31,$AI31,$D$3,$B$17)</f>
        <v>87</v>
      </c>
      <c r="AZ31" s="26" t="str">
        <f>RTD("modbusexcel.rtd",,$A$17,$C$17,IF($E$4="n","D",$D$17),U31,$AI31,$D$3,$B$17)</f>
        <v>60</v>
      </c>
      <c r="BA31" s="26" t="str">
        <f>RTD("modbusexcel.rtd",,$A$17,$C$17,IF($E$4="n","D",$D$17),V31,$AI31,$D$3,$B$17)</f>
        <v>84</v>
      </c>
      <c r="BB31" s="26" t="str">
        <f>RTD("modbusexcel.rtd",,$A$17,$C$17,IF($E$4="n","D",$D$17),W31,$AI31,$D$3,$B$17)</f>
        <v>87</v>
      </c>
      <c r="BC31" s="26" t="str">
        <f>RTD("modbusexcel.rtd",,$A$17,$C$17,IF($E$4="n","D",$D$17),X31,$AI31,$D$3,$B$17)</f>
        <v>87</v>
      </c>
      <c r="BD31" s="26" t="str">
        <f>RTD("modbusexcel.rtd",,$A$17,$C$17,IF($E$4="n","D",$D$17),Y31,$AI31,$D$3,$B$17)</f>
        <v>84</v>
      </c>
      <c r="BE31" s="26" t="str">
        <f>RTD("modbusexcel.rtd",,$A$17,$C$17,IF($E$4="n","D",$D$17),Z31,$AI31,$D$3,$B$17)</f>
        <v>84</v>
      </c>
      <c r="BF31" s="26" t="str">
        <f>RTD("modbusexcel.rtd",,$A$17,$C$17,IF($E$4="n","D",$D$17),AA31,$AI31,$D$3,$B$17)</f>
        <v>84</v>
      </c>
      <c r="BG31" s="26" t="str">
        <f>RTD("modbusexcel.rtd",,$A$17,$C$17,IF($E$4="n","D",$D$17),AB31,$AI31,$D$3,$B$17)</f>
        <v>84</v>
      </c>
      <c r="BH31" s="26" t="str">
        <f>RTD("modbusexcel.rtd",,$A$17,$C$17,IF($E$4="n","D",$D$17),AC31,$AI31,$D$3,$B$17)</f>
        <v>84</v>
      </c>
      <c r="BI31" s="26" t="str">
        <f>RTD("modbusexcel.rtd",,$A$17,$C$17,IF($E$4="n","D",$D$17),AD31,$AI31,$D$3,$B$17)</f>
        <v>60</v>
      </c>
      <c r="BJ31" s="26" t="str">
        <f>RTD("modbusexcel.rtd",,$A$17,$C$17,IF($E$4="n","D",$D$17),AE31,$AI31,$D$3,$B$17)</f>
        <v>84</v>
      </c>
      <c r="BK31" s="26" t="str">
        <f>RTD("modbusexcel.rtd",,$A$17,$C$17,IF($E$4="n","D",$D$17),AF31,$AI31,$D$3,$B$17)</f>
        <v>87</v>
      </c>
      <c r="BL31" s="26" t="str">
        <f>RTD("modbusexcel.rtd",,$A$17,$C$17,IF($E$4="n","D",$D$17),AG31,$AI31,$D$3,$B$17)</f>
        <v>87</v>
      </c>
      <c r="BM31" s="26" t="str">
        <f>RTD("modbusexcel.rtd",,$A$17,$C$17,IF($E$4="n","D",$D$17),AH31,$AI31,$D$3,$B$17)</f>
        <v>60</v>
      </c>
    </row>
    <row r="32" spans="1:65" s="24" customFormat="1" ht="12" x14ac:dyDescent="0.2">
      <c r="E32" s="37">
        <f t="shared" si="29"/>
        <v>40016</v>
      </c>
      <c r="F32" s="34">
        <f t="shared" si="0"/>
        <v>40048</v>
      </c>
      <c r="G32" s="34">
        <f t="shared" si="1"/>
        <v>40080</v>
      </c>
      <c r="H32" s="34">
        <f t="shared" si="2"/>
        <v>40112</v>
      </c>
      <c r="I32" s="34">
        <f t="shared" si="3"/>
        <v>40144</v>
      </c>
      <c r="J32" s="34">
        <f t="shared" si="4"/>
        <v>40176</v>
      </c>
      <c r="K32" s="34">
        <f t="shared" si="5"/>
        <v>40208</v>
      </c>
      <c r="L32" s="34">
        <f t="shared" si="6"/>
        <v>40240</v>
      </c>
      <c r="M32" s="34">
        <f t="shared" si="7"/>
        <v>40272</v>
      </c>
      <c r="N32" s="34">
        <f t="shared" si="8"/>
        <v>40304</v>
      </c>
      <c r="O32" s="34">
        <f t="shared" si="9"/>
        <v>40336</v>
      </c>
      <c r="P32" s="34">
        <f t="shared" si="10"/>
        <v>40368</v>
      </c>
      <c r="Q32" s="34">
        <f t="shared" si="11"/>
        <v>40400</v>
      </c>
      <c r="R32" s="34">
        <f t="shared" si="12"/>
        <v>40432</v>
      </c>
      <c r="S32" s="34">
        <f t="shared" si="13"/>
        <v>40464</v>
      </c>
      <c r="T32" s="34">
        <f t="shared" si="14"/>
        <v>40496</v>
      </c>
      <c r="U32" s="34">
        <f t="shared" si="15"/>
        <v>40528</v>
      </c>
      <c r="V32" s="34">
        <f t="shared" si="16"/>
        <v>40560</v>
      </c>
      <c r="W32" s="34">
        <f t="shared" si="17"/>
        <v>40592</v>
      </c>
      <c r="X32" s="34">
        <f t="shared" si="18"/>
        <v>40624</v>
      </c>
      <c r="Y32" s="34">
        <f t="shared" si="19"/>
        <v>40656</v>
      </c>
      <c r="Z32" s="34">
        <f t="shared" si="20"/>
        <v>40688</v>
      </c>
      <c r="AA32" s="34">
        <f t="shared" si="21"/>
        <v>40720</v>
      </c>
      <c r="AB32" s="34">
        <f t="shared" si="22"/>
        <v>40752</v>
      </c>
      <c r="AC32" s="34">
        <f t="shared" si="23"/>
        <v>40784</v>
      </c>
      <c r="AD32" s="34">
        <f t="shared" si="24"/>
        <v>40816</v>
      </c>
      <c r="AE32" s="34">
        <f t="shared" si="25"/>
        <v>40848</v>
      </c>
      <c r="AF32" s="34">
        <f t="shared" si="26"/>
        <v>40880</v>
      </c>
      <c r="AG32" s="34">
        <f t="shared" si="27"/>
        <v>40912</v>
      </c>
      <c r="AH32" s="34">
        <f t="shared" si="28"/>
        <v>40944</v>
      </c>
      <c r="AI32" s="35">
        <v>1</v>
      </c>
      <c r="AJ32" s="26" t="str">
        <f>RTD("modbusexcel.rtd",,$A$17,$C$17,IF($E$4="n","D",$D$17),E32,$AI32,$D$3,$B$17)</f>
        <v>84</v>
      </c>
      <c r="AK32" s="26" t="str">
        <f>RTD("modbusexcel.rtd",,$A$17,$C$17,IF($E$4="n","D",$D$17),F32,$AI32,$D$3,$B$17)</f>
        <v>84</v>
      </c>
      <c r="AL32" s="26" t="str">
        <f>RTD("modbusexcel.rtd",,$A$17,$C$17,IF($E$4="n","D",$D$17),G32,$AI32,$D$3,$B$17)</f>
        <v>84</v>
      </c>
      <c r="AM32" s="26" t="str">
        <f>RTD("modbusexcel.rtd",,$A$17,$C$17,IF($E$4="n","D",$D$17),H32,$AI32,$D$3,$B$17)</f>
        <v>60</v>
      </c>
      <c r="AN32" s="26" t="str">
        <f>RTD("modbusexcel.rtd",,$A$17,$C$17,IF($E$4="n","D",$D$17),I32,$AI32,$D$3,$B$17)</f>
        <v>84</v>
      </c>
      <c r="AO32" s="26" t="str">
        <f>RTD("modbusexcel.rtd",,$A$17,$C$17,IF($E$4="n","D",$D$17),J32,$AI32,$D$3,$B$17)</f>
        <v>87</v>
      </c>
      <c r="AP32" s="26" t="str">
        <f>RTD("modbusexcel.rtd",,$A$17,$C$17,IF($E$4="n","D",$D$17),K32,$AI32,$D$3,$B$17)</f>
        <v>87</v>
      </c>
      <c r="AQ32" s="26" t="str">
        <f>RTD("modbusexcel.rtd",,$A$17,$C$17,IF($E$4="n","D",$D$17),L32,$AI32,$D$3,$B$17)</f>
        <v>60</v>
      </c>
      <c r="AR32" s="26" t="str">
        <f>RTD("modbusexcel.rtd",,$A$17,$C$17,IF($E$4="n","D",$D$17),M32,$AI32,$D$3,$B$17)</f>
        <v>84</v>
      </c>
      <c r="AS32" s="26" t="str">
        <f>RTD("modbusexcel.rtd",,$A$17,$C$17,IF($E$4="n","D",$D$17),N32,$AI32,$D$3,$B$17)</f>
        <v>84</v>
      </c>
      <c r="AT32" s="26" t="str">
        <f>RTD("modbusexcel.rtd",,$A$17,$C$17,IF($E$4="n","D",$D$17),O32,$AI32,$D$3,$B$17)</f>
        <v>84</v>
      </c>
      <c r="AU32" s="26" t="str">
        <f>RTD("modbusexcel.rtd",,$A$17,$C$17,IF($E$4="n","D",$D$17),P32,$AI32,$D$3,$B$17)</f>
        <v>84</v>
      </c>
      <c r="AV32" s="26" t="str">
        <f>RTD("modbusexcel.rtd",,$A$17,$C$17,IF($E$4="n","D",$D$17),Q32,$AI32,$D$3,$B$17)</f>
        <v>84</v>
      </c>
      <c r="AW32" s="26" t="str">
        <f>RTD("modbusexcel.rtd",,$A$17,$C$17,IF($E$4="n","D",$D$17),R32,$AI32,$D$3,$B$17)</f>
        <v>84</v>
      </c>
      <c r="AX32" s="26" t="str">
        <f>RTD("modbusexcel.rtd",,$A$17,$C$17,IF($E$4="n","D",$D$17),S32,$AI32,$D$3,$B$17)</f>
        <v>84</v>
      </c>
      <c r="AY32" s="26" t="str">
        <f>RTD("modbusexcel.rtd",,$A$17,$C$17,IF($E$4="n","D",$D$17),T32,$AI32,$D$3,$B$17)</f>
        <v>60</v>
      </c>
      <c r="AZ32" s="26" t="str">
        <f>RTD("modbusexcel.rtd",,$A$17,$C$17,IF($E$4="n","D",$D$17),U32,$AI32,$D$3,$B$17)</f>
        <v>84</v>
      </c>
      <c r="BA32" s="26" t="str">
        <f>RTD("modbusexcel.rtd",,$A$17,$C$17,IF($E$4="n","D",$D$17),V32,$AI32,$D$3,$B$17)</f>
        <v>84</v>
      </c>
      <c r="BB32" s="26" t="str">
        <f>RTD("modbusexcel.rtd",,$A$17,$C$17,IF($E$4="n","D",$D$17),W32,$AI32,$D$3,$B$17)</f>
        <v>87</v>
      </c>
      <c r="BC32" s="26" t="str">
        <f>RTD("modbusexcel.rtd",,$A$17,$C$17,IF($E$4="n","D",$D$17),X32,$AI32,$D$3,$B$17)</f>
        <v>87</v>
      </c>
      <c r="BD32" s="26" t="str">
        <f>RTD("modbusexcel.rtd",,$A$17,$C$17,IF($E$4="n","D",$D$17),Y32,$AI32,$D$3,$B$17)</f>
        <v>84</v>
      </c>
      <c r="BE32" s="26" t="str">
        <f>RTD("modbusexcel.rtd",,$A$17,$C$17,IF($E$4="n","D",$D$17),Z32,$AI32,$D$3,$B$17)</f>
        <v>84</v>
      </c>
      <c r="BF32" s="26" t="str">
        <f>RTD("modbusexcel.rtd",,$A$17,$C$17,IF($E$4="n","D",$D$17),AA32,$AI32,$D$3,$B$17)</f>
        <v>87</v>
      </c>
      <c r="BG32" s="26" t="str">
        <f>RTD("modbusexcel.rtd",,$A$17,$C$17,IF($E$4="n","D",$D$17),AB32,$AI32,$D$3,$B$17)</f>
        <v>84</v>
      </c>
      <c r="BH32" s="26" t="str">
        <f>RTD("modbusexcel.rtd",,$A$17,$C$17,IF($E$4="n","D",$D$17),AC32,$AI32,$D$3,$B$17)</f>
        <v>84</v>
      </c>
      <c r="BI32" s="26" t="str">
        <f>RTD("modbusexcel.rtd",,$A$17,$C$17,IF($E$4="n","D",$D$17),AD32,$AI32,$D$3,$B$17)</f>
        <v>84</v>
      </c>
      <c r="BJ32" s="26" t="str">
        <f>RTD("modbusexcel.rtd",,$A$17,$C$17,IF($E$4="n","D",$D$17),AE32,$AI32,$D$3,$B$17)</f>
        <v>84</v>
      </c>
      <c r="BK32" s="26" t="str">
        <f>RTD("modbusexcel.rtd",,$A$17,$C$17,IF($E$4="n","D",$D$17),AF32,$AI32,$D$3,$B$17)</f>
        <v>84</v>
      </c>
      <c r="BL32" s="26" t="str">
        <f>RTD("modbusexcel.rtd",,$A$17,$C$17,IF($E$4="n","D",$D$17),AG32,$AI32,$D$3,$B$17)</f>
        <v>60</v>
      </c>
      <c r="BM32" s="26" t="str">
        <f>RTD("modbusexcel.rtd",,$A$17,$C$17,IF($E$4="n","D",$D$17),AH32,$AI32,$D$3,$B$17)</f>
        <v>84</v>
      </c>
    </row>
    <row r="33" spans="1:65" s="24" customFormat="1" ht="12" x14ac:dyDescent="0.2">
      <c r="E33" s="37">
        <f t="shared" si="29"/>
        <v>40017</v>
      </c>
      <c r="F33" s="34">
        <f t="shared" ref="F33:F47" si="30">E33+32</f>
        <v>40049</v>
      </c>
      <c r="G33" s="34">
        <f t="shared" si="1"/>
        <v>40081</v>
      </c>
      <c r="H33" s="34">
        <f t="shared" si="2"/>
        <v>40113</v>
      </c>
      <c r="I33" s="34">
        <f t="shared" si="3"/>
        <v>40145</v>
      </c>
      <c r="J33" s="34">
        <f t="shared" si="4"/>
        <v>40177</v>
      </c>
      <c r="K33" s="34">
        <f t="shared" si="5"/>
        <v>40209</v>
      </c>
      <c r="L33" s="34">
        <f t="shared" si="6"/>
        <v>40241</v>
      </c>
      <c r="M33" s="34">
        <f t="shared" si="7"/>
        <v>40273</v>
      </c>
      <c r="N33" s="34">
        <f t="shared" si="8"/>
        <v>40305</v>
      </c>
      <c r="O33" s="34">
        <f t="shared" si="9"/>
        <v>40337</v>
      </c>
      <c r="P33" s="34">
        <f t="shared" si="10"/>
        <v>40369</v>
      </c>
      <c r="Q33" s="34">
        <f t="shared" si="11"/>
        <v>40401</v>
      </c>
      <c r="R33" s="34">
        <f t="shared" si="12"/>
        <v>40433</v>
      </c>
      <c r="S33" s="34">
        <f t="shared" si="13"/>
        <v>40465</v>
      </c>
      <c r="T33" s="34">
        <f t="shared" si="14"/>
        <v>40497</v>
      </c>
      <c r="U33" s="34">
        <f t="shared" si="15"/>
        <v>40529</v>
      </c>
      <c r="V33" s="34">
        <f t="shared" si="16"/>
        <v>40561</v>
      </c>
      <c r="W33" s="34">
        <f t="shared" si="17"/>
        <v>40593</v>
      </c>
      <c r="X33" s="34">
        <f t="shared" si="18"/>
        <v>40625</v>
      </c>
      <c r="Y33" s="34">
        <f t="shared" si="19"/>
        <v>40657</v>
      </c>
      <c r="Z33" s="34">
        <f t="shared" si="20"/>
        <v>40689</v>
      </c>
      <c r="AA33" s="34">
        <f t="shared" si="21"/>
        <v>40721</v>
      </c>
      <c r="AB33" s="34">
        <f t="shared" si="22"/>
        <v>40753</v>
      </c>
      <c r="AC33" s="34">
        <f t="shared" si="23"/>
        <v>40785</v>
      </c>
      <c r="AD33" s="34">
        <f t="shared" si="24"/>
        <v>40817</v>
      </c>
      <c r="AE33" s="34">
        <f t="shared" si="25"/>
        <v>40849</v>
      </c>
      <c r="AF33" s="34">
        <f t="shared" si="26"/>
        <v>40881</v>
      </c>
      <c r="AG33" s="34">
        <f t="shared" si="27"/>
        <v>40913</v>
      </c>
      <c r="AH33" s="34">
        <f t="shared" si="28"/>
        <v>40945</v>
      </c>
      <c r="AI33" s="35">
        <v>1</v>
      </c>
      <c r="AJ33" s="26" t="str">
        <f>RTD("modbusexcel.rtd",,$A$17,$C$17,IF($E$4="n","D",$D$17),E33,$AI33,$D$3,$B$17)</f>
        <v>84</v>
      </c>
      <c r="AK33" s="26" t="str">
        <f>RTD("modbusexcel.rtd",,$A$17,$C$17,IF($E$4="n","D",$D$17),F33,$AI33,$D$3,$B$17)</f>
        <v>84</v>
      </c>
      <c r="AL33" s="26" t="str">
        <f>RTD("modbusexcel.rtd",,$A$17,$C$17,IF($E$4="n","D",$D$17),G33,$AI33,$D$3,$B$17)</f>
        <v>84</v>
      </c>
      <c r="AM33" s="26" t="str">
        <f>RTD("modbusexcel.rtd",,$A$17,$C$17,IF($E$4="n","D",$D$17),H33,$AI33,$D$3,$B$17)</f>
        <v>87</v>
      </c>
      <c r="AN33" s="26" t="str">
        <f>RTD("modbusexcel.rtd",,$A$17,$C$17,IF($E$4="n","D",$D$17),I33,$AI33,$D$3,$B$17)</f>
        <v>84</v>
      </c>
      <c r="AO33" s="26" t="str">
        <f>RTD("modbusexcel.rtd",,$A$17,$C$17,IF($E$4="n","D",$D$17),J33,$AI33,$D$3,$B$17)</f>
        <v>87</v>
      </c>
      <c r="AP33" s="26" t="str">
        <f>RTD("modbusexcel.rtd",,$A$17,$C$17,IF($E$4="n","D",$D$17),K33,$AI33,$D$3,$B$17)</f>
        <v>87</v>
      </c>
      <c r="AQ33" s="26" t="str">
        <f>RTD("modbusexcel.rtd",,$A$17,$C$17,IF($E$4="n","D",$D$17),L33,$AI33,$D$3,$B$17)</f>
        <v>60</v>
      </c>
      <c r="AR33" s="26" t="str">
        <f>RTD("modbusexcel.rtd",,$A$17,$C$17,IF($E$4="n","D",$D$17),M33,$AI33,$D$3,$B$17)</f>
        <v>84</v>
      </c>
      <c r="AS33" s="26" t="str">
        <f>RTD("modbusexcel.rtd",,$A$17,$C$17,IF($E$4="n","D",$D$17),N33,$AI33,$D$3,$B$17)</f>
        <v>84</v>
      </c>
      <c r="AT33" s="26" t="str">
        <f>RTD("modbusexcel.rtd",,$A$17,$C$17,IF($E$4="n","D",$D$17),O33,$AI33,$D$3,$B$17)</f>
        <v>84</v>
      </c>
      <c r="AU33" s="26" t="str">
        <f>RTD("modbusexcel.rtd",,$A$17,$C$17,IF($E$4="n","D",$D$17),P33,$AI33,$D$3,$B$17)</f>
        <v>84</v>
      </c>
      <c r="AV33" s="26" t="str">
        <f>RTD("modbusexcel.rtd",,$A$17,$C$17,IF($E$4="n","D",$D$17),Q33,$AI33,$D$3,$B$17)</f>
        <v>84</v>
      </c>
      <c r="AW33" s="26" t="str">
        <f>RTD("modbusexcel.rtd",,$A$17,$C$17,IF($E$4="n","D",$D$17),R33,$AI33,$D$3,$B$17)</f>
        <v>84</v>
      </c>
      <c r="AX33" s="26" t="str">
        <f>RTD("modbusexcel.rtd",,$A$17,$C$17,IF($E$4="n","D",$D$17),S33,$AI33,$D$3,$B$17)</f>
        <v>84</v>
      </c>
      <c r="AY33" s="26" t="str">
        <f>RTD("modbusexcel.rtd",,$A$17,$C$17,IF($E$4="n","D",$D$17),T33,$AI33,$D$3,$B$17)</f>
        <v>60</v>
      </c>
      <c r="AZ33" s="26" t="str">
        <f>RTD("modbusexcel.rtd",,$A$17,$C$17,IF($E$4="n","D",$D$17),U33,$AI33,$D$3,$B$17)</f>
        <v>60</v>
      </c>
      <c r="BA33" s="26" t="str">
        <f>RTD("modbusexcel.rtd",,$A$17,$C$17,IF($E$4="n","D",$D$17),V33,$AI33,$D$3,$B$17)</f>
        <v>84</v>
      </c>
      <c r="BB33" s="26" t="str">
        <f>RTD("modbusexcel.rtd",,$A$17,$C$17,IF($E$4="n","D",$D$17),W33,$AI33,$D$3,$B$17)</f>
        <v>87</v>
      </c>
      <c r="BC33" s="26" t="str">
        <f>RTD("modbusexcel.rtd",,$A$17,$C$17,IF($E$4="n","D",$D$17),X33,$AI33,$D$3,$B$17)</f>
        <v>87</v>
      </c>
      <c r="BD33" s="26" t="str">
        <f>RTD("modbusexcel.rtd",,$A$17,$C$17,IF($E$4="n","D",$D$17),Y33,$AI33,$D$3,$B$17)</f>
        <v>84</v>
      </c>
      <c r="BE33" s="26" t="str">
        <f>RTD("modbusexcel.rtd",,$A$17,$C$17,IF($E$4="n","D",$D$17),Z33,$AI33,$D$3,$B$17)</f>
        <v>84</v>
      </c>
      <c r="BF33" s="26" t="str">
        <f>RTD("modbusexcel.rtd",,$A$17,$C$17,IF($E$4="n","D",$D$17),AA33,$AI33,$D$3,$B$17)</f>
        <v>87</v>
      </c>
      <c r="BG33" s="26" t="str">
        <f>RTD("modbusexcel.rtd",,$A$17,$C$17,IF($E$4="n","D",$D$17),AB33,$AI33,$D$3,$B$17)</f>
        <v>84</v>
      </c>
      <c r="BH33" s="26" t="str">
        <f>RTD("modbusexcel.rtd",,$A$17,$C$17,IF($E$4="n","D",$D$17),AC33,$AI33,$D$3,$B$17)</f>
        <v>84</v>
      </c>
      <c r="BI33" s="26" t="str">
        <f>RTD("modbusexcel.rtd",,$A$17,$C$17,IF($E$4="n","D",$D$17),AD33,$AI33,$D$3,$B$17)</f>
        <v>84</v>
      </c>
      <c r="BJ33" s="26" t="str">
        <f>RTD("modbusexcel.rtd",,$A$17,$C$17,IF($E$4="n","D",$D$17),AE33,$AI33,$D$3,$B$17)</f>
        <v>84</v>
      </c>
      <c r="BK33" s="26" t="str">
        <f>RTD("modbusexcel.rtd",,$A$17,$C$17,IF($E$4="n","D",$D$17),AF33,$AI33,$D$3,$B$17)</f>
        <v>84</v>
      </c>
      <c r="BL33" s="26" t="str">
        <f>RTD("modbusexcel.rtd",,$A$17,$C$17,IF($E$4="n","D",$D$17),AG33,$AI33,$D$3,$B$17)</f>
        <v>87</v>
      </c>
      <c r="BM33" s="26" t="str">
        <f>RTD("modbusexcel.rtd",,$A$17,$C$17,IF($E$4="n","D",$D$17),AH33,$AI33,$D$3,$B$17)</f>
        <v>84</v>
      </c>
    </row>
    <row r="34" spans="1:65" s="24" customFormat="1" ht="12" x14ac:dyDescent="0.2">
      <c r="E34" s="37">
        <f t="shared" si="29"/>
        <v>40018</v>
      </c>
      <c r="F34" s="34">
        <f t="shared" si="30"/>
        <v>40050</v>
      </c>
      <c r="G34" s="34">
        <f t="shared" si="1"/>
        <v>40082</v>
      </c>
      <c r="H34" s="34">
        <f t="shared" si="2"/>
        <v>40114</v>
      </c>
      <c r="I34" s="34">
        <f t="shared" si="3"/>
        <v>40146</v>
      </c>
      <c r="J34" s="34">
        <f t="shared" si="4"/>
        <v>40178</v>
      </c>
      <c r="K34" s="34">
        <f t="shared" si="5"/>
        <v>40210</v>
      </c>
      <c r="L34" s="34">
        <f t="shared" si="6"/>
        <v>40242</v>
      </c>
      <c r="M34" s="34">
        <f t="shared" si="7"/>
        <v>40274</v>
      </c>
      <c r="N34" s="34">
        <f t="shared" si="8"/>
        <v>40306</v>
      </c>
      <c r="O34" s="34">
        <f t="shared" si="9"/>
        <v>40338</v>
      </c>
      <c r="P34" s="34">
        <f t="shared" si="10"/>
        <v>40370</v>
      </c>
      <c r="Q34" s="34">
        <f t="shared" si="11"/>
        <v>40402</v>
      </c>
      <c r="R34" s="34">
        <f t="shared" si="12"/>
        <v>40434</v>
      </c>
      <c r="S34" s="34">
        <f t="shared" si="13"/>
        <v>40466</v>
      </c>
      <c r="T34" s="34">
        <f t="shared" si="14"/>
        <v>40498</v>
      </c>
      <c r="U34" s="34">
        <f t="shared" si="15"/>
        <v>40530</v>
      </c>
      <c r="V34" s="34">
        <f t="shared" si="16"/>
        <v>40562</v>
      </c>
      <c r="W34" s="34">
        <f t="shared" si="17"/>
        <v>40594</v>
      </c>
      <c r="X34" s="34">
        <f t="shared" si="18"/>
        <v>40626</v>
      </c>
      <c r="Y34" s="34">
        <f t="shared" si="19"/>
        <v>40658</v>
      </c>
      <c r="Z34" s="34">
        <f t="shared" si="20"/>
        <v>40690</v>
      </c>
      <c r="AA34" s="34">
        <f t="shared" si="21"/>
        <v>40722</v>
      </c>
      <c r="AB34" s="34">
        <f t="shared" si="22"/>
        <v>40754</v>
      </c>
      <c r="AC34" s="34">
        <f t="shared" si="23"/>
        <v>40786</v>
      </c>
      <c r="AD34" s="34">
        <f t="shared" si="24"/>
        <v>40818</v>
      </c>
      <c r="AE34" s="34">
        <f t="shared" si="25"/>
        <v>40850</v>
      </c>
      <c r="AF34" s="34">
        <f t="shared" si="26"/>
        <v>40882</v>
      </c>
      <c r="AG34" s="34">
        <f t="shared" si="27"/>
        <v>40914</v>
      </c>
      <c r="AH34" s="34">
        <f t="shared" si="28"/>
        <v>40946</v>
      </c>
      <c r="AI34" s="35">
        <v>1</v>
      </c>
      <c r="AJ34" s="26" t="str">
        <f>RTD("modbusexcel.rtd",,$A$17,$C$17,IF($E$4="n","D",$D$17),E34,$AI34,$D$3,$B$17)</f>
        <v>84</v>
      </c>
      <c r="AK34" s="26" t="str">
        <f>RTD("modbusexcel.rtd",,$A$17,$C$17,IF($E$4="n","D",$D$17),F34,$AI34,$D$3,$B$17)</f>
        <v>84</v>
      </c>
      <c r="AL34" s="26" t="str">
        <f>RTD("modbusexcel.rtd",,$A$17,$C$17,IF($E$4="n","D",$D$17),G34,$AI34,$D$3,$B$17)</f>
        <v>84</v>
      </c>
      <c r="AM34" s="26" t="str">
        <f>RTD("modbusexcel.rtd",,$A$17,$C$17,IF($E$4="n","D",$D$17),H34,$AI34,$D$3,$B$17)</f>
        <v>60</v>
      </c>
      <c r="AN34" s="26" t="str">
        <f>RTD("modbusexcel.rtd",,$A$17,$C$17,IF($E$4="n","D",$D$17),I34,$AI34,$D$3,$B$17)</f>
        <v>84</v>
      </c>
      <c r="AO34" s="26" t="str">
        <f>RTD("modbusexcel.rtd",,$A$17,$C$17,IF($E$4="n","D",$D$17),J34,$AI34,$D$3,$B$17)</f>
        <v>87</v>
      </c>
      <c r="AP34" s="26" t="str">
        <f>RTD("modbusexcel.rtd",,$A$17,$C$17,IF($E$4="n","D",$D$17),K34,$AI34,$D$3,$B$17)</f>
        <v>87</v>
      </c>
      <c r="AQ34" s="26" t="str">
        <f>RTD("modbusexcel.rtd",,$A$17,$C$17,IF($E$4="n","D",$D$17),L34,$AI34,$D$3,$B$17)</f>
        <v>84</v>
      </c>
      <c r="AR34" s="26" t="str">
        <f>RTD("modbusexcel.rtd",,$A$17,$C$17,IF($E$4="n","D",$D$17),M34,$AI34,$D$3,$B$17)</f>
        <v>84</v>
      </c>
      <c r="AS34" s="26" t="str">
        <f>RTD("modbusexcel.rtd",,$A$17,$C$17,IF($E$4="n","D",$D$17),N34,$AI34,$D$3,$B$17)</f>
        <v>84</v>
      </c>
      <c r="AT34" s="26" t="str">
        <f>RTD("modbusexcel.rtd",,$A$17,$C$17,IF($E$4="n","D",$D$17),O34,$AI34,$D$3,$B$17)</f>
        <v>84</v>
      </c>
      <c r="AU34" s="26" t="str">
        <f>RTD("modbusexcel.rtd",,$A$17,$C$17,IF($E$4="n","D",$D$17),P34,$AI34,$D$3,$B$17)</f>
        <v>84</v>
      </c>
      <c r="AV34" s="26" t="str">
        <f>RTD("modbusexcel.rtd",,$A$17,$C$17,IF($E$4="n","D",$D$17),Q34,$AI34,$D$3,$B$17)</f>
        <v>84</v>
      </c>
      <c r="AW34" s="26" t="str">
        <f>RTD("modbusexcel.rtd",,$A$17,$C$17,IF($E$4="n","D",$D$17),R34,$AI34,$D$3,$B$17)</f>
        <v>84</v>
      </c>
      <c r="AX34" s="26" t="str">
        <f>RTD("modbusexcel.rtd",,$A$17,$C$17,IF($E$4="n","D",$D$17),S34,$AI34,$D$3,$B$17)</f>
        <v>84</v>
      </c>
      <c r="AY34" s="26" t="str">
        <f>RTD("modbusexcel.rtd",,$A$17,$C$17,IF($E$4="n","D",$D$17),T34,$AI34,$D$3,$B$17)</f>
        <v>60</v>
      </c>
      <c r="AZ34" s="26" t="str">
        <f>RTD("modbusexcel.rtd",,$A$17,$C$17,IF($E$4="n","D",$D$17),U34,$AI34,$D$3,$B$17)</f>
        <v>84</v>
      </c>
      <c r="BA34" s="26" t="str">
        <f>RTD("modbusexcel.rtd",,$A$17,$C$17,IF($E$4="n","D",$D$17),V34,$AI34,$D$3,$B$17)</f>
        <v>84</v>
      </c>
      <c r="BB34" s="26" t="str">
        <f>RTD("modbusexcel.rtd",,$A$17,$C$17,IF($E$4="n","D",$D$17),W34,$AI34,$D$3,$B$17)</f>
        <v>87</v>
      </c>
      <c r="BC34" s="26" t="str">
        <f>RTD("modbusexcel.rtd",,$A$17,$C$17,IF($E$4="n","D",$D$17),X34,$AI34,$D$3,$B$17)</f>
        <v>60</v>
      </c>
      <c r="BD34" s="26" t="str">
        <f>RTD("modbusexcel.rtd",,$A$17,$C$17,IF($E$4="n","D",$D$17),Y34,$AI34,$D$3,$B$17)</f>
        <v>84</v>
      </c>
      <c r="BE34" s="26" t="str">
        <f>RTD("modbusexcel.rtd",,$A$17,$C$17,IF($E$4="n","D",$D$17),Z34,$AI34,$D$3,$B$17)</f>
        <v>87</v>
      </c>
      <c r="BF34" s="26" t="str">
        <f>RTD("modbusexcel.rtd",,$A$17,$C$17,IF($E$4="n","D",$D$17),AA34,$AI34,$D$3,$B$17)</f>
        <v>87</v>
      </c>
      <c r="BG34" s="26" t="str">
        <f>RTD("modbusexcel.rtd",,$A$17,$C$17,IF($E$4="n","D",$D$17),AB34,$AI34,$D$3,$B$17)</f>
        <v>84</v>
      </c>
      <c r="BH34" s="26" t="str">
        <f>RTD("modbusexcel.rtd",,$A$17,$C$17,IF($E$4="n","D",$D$17),AC34,$AI34,$D$3,$B$17)</f>
        <v>84</v>
      </c>
      <c r="BI34" s="26" t="str">
        <f>RTD("modbusexcel.rtd",,$A$17,$C$17,IF($E$4="n","D",$D$17),AD34,$AI34,$D$3,$B$17)</f>
        <v>84</v>
      </c>
      <c r="BJ34" s="26" t="str">
        <f>RTD("modbusexcel.rtd",,$A$17,$C$17,IF($E$4="n","D",$D$17),AE34,$AI34,$D$3,$B$17)</f>
        <v>84</v>
      </c>
      <c r="BK34" s="26" t="str">
        <f>RTD("modbusexcel.rtd",,$A$17,$C$17,IF($E$4="n","D",$D$17),AF34,$AI34,$D$3,$B$17)</f>
        <v>84</v>
      </c>
      <c r="BL34" s="26" t="str">
        <f>RTD("modbusexcel.rtd",,$A$17,$C$17,IF($E$4="n","D",$D$17),AG34,$AI34,$D$3,$B$17)</f>
        <v>60</v>
      </c>
      <c r="BM34" s="26" t="str">
        <f>RTD("modbusexcel.rtd",,$A$17,$C$17,IF($E$4="n","D",$D$17),AH34,$AI34,$D$3,$B$17)</f>
        <v>84</v>
      </c>
    </row>
    <row r="35" spans="1:65" s="24" customFormat="1" ht="12" x14ac:dyDescent="0.2">
      <c r="E35" s="37">
        <f t="shared" si="29"/>
        <v>40019</v>
      </c>
      <c r="F35" s="34">
        <f t="shared" si="30"/>
        <v>40051</v>
      </c>
      <c r="G35" s="34">
        <f t="shared" si="1"/>
        <v>40083</v>
      </c>
      <c r="H35" s="34">
        <f t="shared" si="2"/>
        <v>40115</v>
      </c>
      <c r="I35" s="34">
        <f t="shared" si="3"/>
        <v>40147</v>
      </c>
      <c r="J35" s="34">
        <f t="shared" si="4"/>
        <v>40179</v>
      </c>
      <c r="K35" s="34">
        <f t="shared" si="5"/>
        <v>40211</v>
      </c>
      <c r="L35" s="34">
        <f t="shared" si="6"/>
        <v>40243</v>
      </c>
      <c r="M35" s="34">
        <f t="shared" si="7"/>
        <v>40275</v>
      </c>
      <c r="N35" s="34">
        <f t="shared" si="8"/>
        <v>40307</v>
      </c>
      <c r="O35" s="34">
        <f t="shared" si="9"/>
        <v>40339</v>
      </c>
      <c r="P35" s="34">
        <f t="shared" si="10"/>
        <v>40371</v>
      </c>
      <c r="Q35" s="34">
        <f t="shared" si="11"/>
        <v>40403</v>
      </c>
      <c r="R35" s="34">
        <f t="shared" si="12"/>
        <v>40435</v>
      </c>
      <c r="S35" s="34">
        <f t="shared" si="13"/>
        <v>40467</v>
      </c>
      <c r="T35" s="34">
        <f t="shared" si="14"/>
        <v>40499</v>
      </c>
      <c r="U35" s="34">
        <f t="shared" si="15"/>
        <v>40531</v>
      </c>
      <c r="V35" s="34">
        <f t="shared" si="16"/>
        <v>40563</v>
      </c>
      <c r="W35" s="34">
        <f t="shared" si="17"/>
        <v>40595</v>
      </c>
      <c r="X35" s="34">
        <f t="shared" si="18"/>
        <v>40627</v>
      </c>
      <c r="Y35" s="34">
        <f t="shared" si="19"/>
        <v>40659</v>
      </c>
      <c r="Z35" s="34">
        <f t="shared" si="20"/>
        <v>40691</v>
      </c>
      <c r="AA35" s="34">
        <f t="shared" si="21"/>
        <v>40723</v>
      </c>
      <c r="AB35" s="34">
        <f t="shared" si="22"/>
        <v>40755</v>
      </c>
      <c r="AC35" s="34">
        <f t="shared" si="23"/>
        <v>40787</v>
      </c>
      <c r="AD35" s="34">
        <f t="shared" si="24"/>
        <v>40819</v>
      </c>
      <c r="AE35" s="34">
        <f t="shared" si="25"/>
        <v>40851</v>
      </c>
      <c r="AF35" s="34">
        <f t="shared" si="26"/>
        <v>40883</v>
      </c>
      <c r="AG35" s="34">
        <f t="shared" si="27"/>
        <v>40915</v>
      </c>
      <c r="AH35" s="34">
        <f t="shared" si="28"/>
        <v>40947</v>
      </c>
      <c r="AI35" s="35">
        <v>1</v>
      </c>
      <c r="AJ35" s="26" t="str">
        <f>RTD("modbusexcel.rtd",,$A$17,$C$17,IF($E$4="n","D",$D$17),E35,$AI35,$D$3,$B$17)</f>
        <v>84</v>
      </c>
      <c r="AK35" s="26" t="str">
        <f>RTD("modbusexcel.rtd",,$A$17,$C$17,IF($E$4="n","D",$D$17),F35,$AI35,$D$3,$B$17)</f>
        <v>84</v>
      </c>
      <c r="AL35" s="26" t="str">
        <f>RTD("modbusexcel.rtd",,$A$17,$C$17,IF($E$4="n","D",$D$17),G35,$AI35,$D$3,$B$17)</f>
        <v>84</v>
      </c>
      <c r="AM35" s="26" t="str">
        <f>RTD("modbusexcel.rtd",,$A$17,$C$17,IF($E$4="n","D",$D$17),H35,$AI35,$D$3,$B$17)</f>
        <v>60</v>
      </c>
      <c r="AN35" s="26" t="str">
        <f>RTD("modbusexcel.rtd",,$A$17,$C$17,IF($E$4="n","D",$D$17),I35,$AI35,$D$3,$B$17)</f>
        <v>84</v>
      </c>
      <c r="AO35" s="26" t="str">
        <f>RTD("modbusexcel.rtd",,$A$17,$C$17,IF($E$4="n","D",$D$17),J35,$AI35,$D$3,$B$17)</f>
        <v>87</v>
      </c>
      <c r="AP35" s="26" t="str">
        <f>RTD("modbusexcel.rtd",,$A$17,$C$17,IF($E$4="n","D",$D$17),K35,$AI35,$D$3,$B$17)</f>
        <v>87</v>
      </c>
      <c r="AQ35" s="26" t="str">
        <f>RTD("modbusexcel.rtd",,$A$17,$C$17,IF($E$4="n","D",$D$17),L35,$AI35,$D$3,$B$17)</f>
        <v>60</v>
      </c>
      <c r="AR35" s="26" t="str">
        <f>RTD("modbusexcel.rtd",,$A$17,$C$17,IF($E$4="n","D",$D$17),M35,$AI35,$D$3,$B$17)</f>
        <v>84</v>
      </c>
      <c r="AS35" s="26" t="str">
        <f>RTD("modbusexcel.rtd",,$A$17,$C$17,IF($E$4="n","D",$D$17),N35,$AI35,$D$3,$B$17)</f>
        <v>84</v>
      </c>
      <c r="AT35" s="26" t="str">
        <f>RTD("modbusexcel.rtd",,$A$17,$C$17,IF($E$4="n","D",$D$17),O35,$AI35,$D$3,$B$17)</f>
        <v>84</v>
      </c>
      <c r="AU35" s="26" t="str">
        <f>RTD("modbusexcel.rtd",,$A$17,$C$17,IF($E$4="n","D",$D$17),P35,$AI35,$D$3,$B$17)</f>
        <v>84</v>
      </c>
      <c r="AV35" s="26" t="str">
        <f>RTD("modbusexcel.rtd",,$A$17,$C$17,IF($E$4="n","D",$D$17),Q35,$AI35,$D$3,$B$17)</f>
        <v>84</v>
      </c>
      <c r="AW35" s="26" t="str">
        <f>RTD("modbusexcel.rtd",,$A$17,$C$17,IF($E$4="n","D",$D$17),R35,$AI35,$D$3,$B$17)</f>
        <v>84</v>
      </c>
      <c r="AX35" s="26" t="str">
        <f>RTD("modbusexcel.rtd",,$A$17,$C$17,IF($E$4="n","D",$D$17),S35,$AI35,$D$3,$B$17)</f>
        <v>84</v>
      </c>
      <c r="AY35" s="26" t="str">
        <f>RTD("modbusexcel.rtd",,$A$17,$C$17,IF($E$4="n","D",$D$17),T35,$AI35,$D$3,$B$17)</f>
        <v>60</v>
      </c>
      <c r="AZ35" s="26" t="str">
        <f>RTD("modbusexcel.rtd",,$A$17,$C$17,IF($E$4="n","D",$D$17),U35,$AI35,$D$3,$B$17)</f>
        <v>84</v>
      </c>
      <c r="BA35" s="26" t="str">
        <f>RTD("modbusexcel.rtd",,$A$17,$C$17,IF($E$4="n","D",$D$17),V35,$AI35,$D$3,$B$17)</f>
        <v>84</v>
      </c>
      <c r="BB35" s="26" t="str">
        <f>RTD("modbusexcel.rtd",,$A$17,$C$17,IF($E$4="n","D",$D$17),W35,$AI35,$D$3,$B$17)</f>
        <v>87</v>
      </c>
      <c r="BC35" s="26" t="str">
        <f>RTD("modbusexcel.rtd",,$A$17,$C$17,IF($E$4="n","D",$D$17),X35,$AI35,$D$3,$B$17)</f>
        <v>60</v>
      </c>
      <c r="BD35" s="26" t="str">
        <f>RTD("modbusexcel.rtd",,$A$17,$C$17,IF($E$4="n","D",$D$17),Y35,$AI35,$D$3,$B$17)</f>
        <v>84</v>
      </c>
      <c r="BE35" s="26" t="str">
        <f>RTD("modbusexcel.rtd",,$A$17,$C$17,IF($E$4="n","D",$D$17),Z35,$AI35,$D$3,$B$17)</f>
        <v>87</v>
      </c>
      <c r="BF35" s="26" t="str">
        <f>RTD("modbusexcel.rtd",,$A$17,$C$17,IF($E$4="n","D",$D$17),AA35,$AI35,$D$3,$B$17)</f>
        <v>87</v>
      </c>
      <c r="BG35" s="26" t="str">
        <f>RTD("modbusexcel.rtd",,$A$17,$C$17,IF($E$4="n","D",$D$17),AB35,$AI35,$D$3,$B$17)</f>
        <v>84</v>
      </c>
      <c r="BH35" s="26" t="str">
        <f>RTD("modbusexcel.rtd",,$A$17,$C$17,IF($E$4="n","D",$D$17),AC35,$AI35,$D$3,$B$17)</f>
        <v>84</v>
      </c>
      <c r="BI35" s="26" t="str">
        <f>RTD("modbusexcel.rtd",,$A$17,$C$17,IF($E$4="n","D",$D$17),AD35,$AI35,$D$3,$B$17)</f>
        <v>84</v>
      </c>
      <c r="BJ35" s="26" t="str">
        <f>RTD("modbusexcel.rtd",,$A$17,$C$17,IF($E$4="n","D",$D$17),AE35,$AI35,$D$3,$B$17)</f>
        <v>84</v>
      </c>
      <c r="BK35" s="26" t="str">
        <f>RTD("modbusexcel.rtd",,$A$17,$C$17,IF($E$4="n","D",$D$17),AF35,$AI35,$D$3,$B$17)</f>
        <v>84</v>
      </c>
      <c r="BL35" s="26" t="str">
        <f>RTD("modbusexcel.rtd",,$A$17,$C$17,IF($E$4="n","D",$D$17),AG35,$AI35,$D$3,$B$17)</f>
        <v>60</v>
      </c>
      <c r="BM35" s="26" t="str">
        <f>RTD("modbusexcel.rtd",,$A$17,$C$17,IF($E$4="n","D",$D$17),AH35,$AI35,$D$3,$B$17)</f>
        <v>84</v>
      </c>
    </row>
    <row r="36" spans="1:65" s="24" customFormat="1" ht="12" x14ac:dyDescent="0.2">
      <c r="E36" s="37">
        <f t="shared" si="29"/>
        <v>40020</v>
      </c>
      <c r="F36" s="34">
        <f t="shared" si="30"/>
        <v>40052</v>
      </c>
      <c r="G36" s="34">
        <f t="shared" si="1"/>
        <v>40084</v>
      </c>
      <c r="H36" s="34">
        <f t="shared" si="2"/>
        <v>40116</v>
      </c>
      <c r="I36" s="34">
        <f t="shared" si="3"/>
        <v>40148</v>
      </c>
      <c r="J36" s="34">
        <f t="shared" si="4"/>
        <v>40180</v>
      </c>
      <c r="K36" s="34">
        <f t="shared" si="5"/>
        <v>40212</v>
      </c>
      <c r="L36" s="34">
        <f t="shared" si="6"/>
        <v>40244</v>
      </c>
      <c r="M36" s="34">
        <f t="shared" si="7"/>
        <v>40276</v>
      </c>
      <c r="N36" s="34">
        <f t="shared" si="8"/>
        <v>40308</v>
      </c>
      <c r="O36" s="34">
        <f t="shared" si="9"/>
        <v>40340</v>
      </c>
      <c r="P36" s="34">
        <f t="shared" si="10"/>
        <v>40372</v>
      </c>
      <c r="Q36" s="34">
        <f t="shared" si="11"/>
        <v>40404</v>
      </c>
      <c r="R36" s="34">
        <f t="shared" si="12"/>
        <v>40436</v>
      </c>
      <c r="S36" s="34">
        <f t="shared" si="13"/>
        <v>40468</v>
      </c>
      <c r="T36" s="34">
        <f t="shared" si="14"/>
        <v>40500</v>
      </c>
      <c r="U36" s="34">
        <f t="shared" si="15"/>
        <v>40532</v>
      </c>
      <c r="V36" s="34">
        <f t="shared" si="16"/>
        <v>40564</v>
      </c>
      <c r="W36" s="34">
        <f t="shared" si="17"/>
        <v>40596</v>
      </c>
      <c r="X36" s="34">
        <f t="shared" si="18"/>
        <v>40628</v>
      </c>
      <c r="Y36" s="34">
        <f t="shared" si="19"/>
        <v>40660</v>
      </c>
      <c r="Z36" s="34">
        <f t="shared" si="20"/>
        <v>40692</v>
      </c>
      <c r="AA36" s="34">
        <f t="shared" si="21"/>
        <v>40724</v>
      </c>
      <c r="AB36" s="34">
        <f t="shared" si="22"/>
        <v>40756</v>
      </c>
      <c r="AC36" s="34">
        <f t="shared" si="23"/>
        <v>40788</v>
      </c>
      <c r="AD36" s="34">
        <f t="shared" si="24"/>
        <v>40820</v>
      </c>
      <c r="AE36" s="34">
        <f t="shared" si="25"/>
        <v>40852</v>
      </c>
      <c r="AF36" s="34">
        <f t="shared" si="26"/>
        <v>40884</v>
      </c>
      <c r="AG36" s="34">
        <f t="shared" si="27"/>
        <v>40916</v>
      </c>
      <c r="AH36" s="34">
        <f t="shared" si="28"/>
        <v>40948</v>
      </c>
      <c r="AI36" s="35">
        <v>1</v>
      </c>
      <c r="AJ36" s="26" t="str">
        <f>RTD("modbusexcel.rtd",,$A$17,$C$17,IF($E$4="n","D",$D$17),E36,$AI36,$D$3,$B$17)</f>
        <v>87</v>
      </c>
      <c r="AK36" s="26" t="str">
        <f>RTD("modbusexcel.rtd",,$A$17,$C$17,IF($E$4="n","D",$D$17),F36,$AI36,$D$3,$B$17)</f>
        <v>84</v>
      </c>
      <c r="AL36" s="26" t="str">
        <f>RTD("modbusexcel.rtd",,$A$17,$C$17,IF($E$4="n","D",$D$17),G36,$AI36,$D$3,$B$17)</f>
        <v>84</v>
      </c>
      <c r="AM36" s="26" t="str">
        <f>RTD("modbusexcel.rtd",,$A$17,$C$17,IF($E$4="n","D",$D$17),H36,$AI36,$D$3,$B$17)</f>
        <v>84</v>
      </c>
      <c r="AN36" s="26" t="str">
        <f>RTD("modbusexcel.rtd",,$A$17,$C$17,IF($E$4="n","D",$D$17),I36,$AI36,$D$3,$B$17)</f>
        <v>84</v>
      </c>
      <c r="AO36" s="26" t="str">
        <f>RTD("modbusexcel.rtd",,$A$17,$C$17,IF($E$4="n","D",$D$17),J36,$AI36,$D$3,$B$17)</f>
        <v>84</v>
      </c>
      <c r="AP36" s="26" t="str">
        <f>RTD("modbusexcel.rtd",,$A$17,$C$17,IF($E$4="n","D",$D$17),K36,$AI36,$D$3,$B$17)</f>
        <v>60</v>
      </c>
      <c r="AQ36" s="26" t="str">
        <f>RTD("modbusexcel.rtd",,$A$17,$C$17,IF($E$4="n","D",$D$17),L36,$AI36,$D$3,$B$17)</f>
        <v>84</v>
      </c>
      <c r="AR36" s="26" t="str">
        <f>RTD("modbusexcel.rtd",,$A$17,$C$17,IF($E$4="n","D",$D$17),M36,$AI36,$D$3,$B$17)</f>
        <v>87</v>
      </c>
      <c r="AS36" s="26" t="str">
        <f>RTD("modbusexcel.rtd",,$A$17,$C$17,IF($E$4="n","D",$D$17),N36,$AI36,$D$3,$B$17)</f>
        <v>87</v>
      </c>
      <c r="AT36" s="26" t="str">
        <f>RTD("modbusexcel.rtd",,$A$17,$C$17,IF($E$4="n","D",$D$17),O36,$AI36,$D$3,$B$17)</f>
        <v>60</v>
      </c>
      <c r="AU36" s="26" t="str">
        <f>RTD("modbusexcel.rtd",,$A$17,$C$17,IF($E$4="n","D",$D$17),P36,$AI36,$D$3,$B$17)</f>
        <v>84</v>
      </c>
      <c r="AV36" s="26" t="str">
        <f>RTD("modbusexcel.rtd",,$A$17,$C$17,IF($E$4="n","D",$D$17),Q36,$AI36,$D$3,$B$17)</f>
        <v>84</v>
      </c>
      <c r="AW36" s="26" t="str">
        <f>RTD("modbusexcel.rtd",,$A$17,$C$17,IF($E$4="n","D",$D$17),R36,$AI36,$D$3,$B$17)</f>
        <v>84</v>
      </c>
      <c r="AX36" s="26" t="str">
        <f>RTD("modbusexcel.rtd",,$A$17,$C$17,IF($E$4="n","D",$D$17),S36,$AI36,$D$3,$B$17)</f>
        <v>84</v>
      </c>
      <c r="AY36" s="26" t="str">
        <f>RTD("modbusexcel.rtd",,$A$17,$C$17,IF($E$4="n","D",$D$17),T36,$AI36,$D$3,$B$17)</f>
        <v>84</v>
      </c>
      <c r="AZ36" s="26" t="str">
        <f>RTD("modbusexcel.rtd",,$A$17,$C$17,IF($E$4="n","D",$D$17),U36,$AI36,$D$3,$B$17)</f>
        <v>84</v>
      </c>
      <c r="BA36" s="26" t="str">
        <f>RTD("modbusexcel.rtd",,$A$17,$C$17,IF($E$4="n","D",$D$17),V36,$AI36,$D$3,$B$17)</f>
        <v>84</v>
      </c>
      <c r="BB36" s="26" t="str">
        <f>RTD("modbusexcel.rtd",,$A$17,$C$17,IF($E$4="n","D",$D$17),W36,$AI36,$D$3,$B$17)</f>
        <v>60</v>
      </c>
      <c r="BC36" s="26" t="str">
        <f>RTD("modbusexcel.rtd",,$A$17,$C$17,IF($E$4="n","D",$D$17),X36,$AI36,$D$3,$B$17)</f>
        <v>84</v>
      </c>
      <c r="BD36" s="26" t="str">
        <f>RTD("modbusexcel.rtd",,$A$17,$C$17,IF($E$4="n","D",$D$17),Y36,$AI36,$D$3,$B$17)</f>
        <v>84</v>
      </c>
      <c r="BE36" s="26" t="str">
        <f>RTD("modbusexcel.rtd",,$A$17,$C$17,IF($E$4="n","D",$D$17),Z36,$AI36,$D$3,$B$17)</f>
        <v>87</v>
      </c>
      <c r="BF36" s="26" t="str">
        <f>RTD("modbusexcel.rtd",,$A$17,$C$17,IF($E$4="n","D",$D$17),AA36,$AI36,$D$3,$B$17)</f>
        <v>87</v>
      </c>
      <c r="BG36" s="26" t="str">
        <f>RTD("modbusexcel.rtd",,$A$17,$C$17,IF($E$4="n","D",$D$17),AB36,$AI36,$D$3,$B$17)</f>
        <v>84</v>
      </c>
      <c r="BH36" s="26" t="str">
        <f>RTD("modbusexcel.rtd",,$A$17,$C$17,IF($E$4="n","D",$D$17),AC36,$AI36,$D$3,$B$17)</f>
        <v>84</v>
      </c>
      <c r="BI36" s="26" t="str">
        <f>RTD("modbusexcel.rtd",,$A$17,$C$17,IF($E$4="n","D",$D$17),AD36,$AI36,$D$3,$B$17)</f>
        <v>87</v>
      </c>
      <c r="BJ36" s="26" t="str">
        <f>RTD("modbusexcel.rtd",,$A$17,$C$17,IF($E$4="n","D",$D$17),AE36,$AI36,$D$3,$B$17)</f>
        <v>84</v>
      </c>
      <c r="BK36" s="26" t="str">
        <f>RTD("modbusexcel.rtd",,$A$17,$C$17,IF($E$4="n","D",$D$17),AF36,$AI36,$D$3,$B$17)</f>
        <v>84</v>
      </c>
      <c r="BL36" s="26" t="str">
        <f>RTD("modbusexcel.rtd",,$A$17,$C$17,IF($E$4="n","D",$D$17),AG36,$AI36,$D$3,$B$17)</f>
        <v>84</v>
      </c>
      <c r="BM36" s="26" t="str">
        <f>RTD("modbusexcel.rtd",,$A$17,$C$17,IF($E$4="n","D",$D$17),AH36,$AI36,$D$3,$B$17)</f>
        <v>84</v>
      </c>
    </row>
    <row r="37" spans="1:65" s="24" customFormat="1" ht="12" x14ac:dyDescent="0.2">
      <c r="E37" s="37">
        <f t="shared" si="29"/>
        <v>40021</v>
      </c>
      <c r="F37" s="34">
        <f t="shared" si="30"/>
        <v>40053</v>
      </c>
      <c r="G37" s="34">
        <f t="shared" si="1"/>
        <v>40085</v>
      </c>
      <c r="H37" s="34">
        <f t="shared" si="2"/>
        <v>40117</v>
      </c>
      <c r="I37" s="34">
        <f t="shared" si="3"/>
        <v>40149</v>
      </c>
      <c r="J37" s="34">
        <f t="shared" si="4"/>
        <v>40181</v>
      </c>
      <c r="K37" s="34">
        <f t="shared" si="5"/>
        <v>40213</v>
      </c>
      <c r="L37" s="34">
        <f t="shared" si="6"/>
        <v>40245</v>
      </c>
      <c r="M37" s="34">
        <f t="shared" si="7"/>
        <v>40277</v>
      </c>
      <c r="N37" s="34">
        <f t="shared" si="8"/>
        <v>40309</v>
      </c>
      <c r="O37" s="34">
        <f t="shared" si="9"/>
        <v>40341</v>
      </c>
      <c r="P37" s="34">
        <f t="shared" si="10"/>
        <v>40373</v>
      </c>
      <c r="Q37" s="34">
        <f t="shared" si="11"/>
        <v>40405</v>
      </c>
      <c r="R37" s="34">
        <f t="shared" si="12"/>
        <v>40437</v>
      </c>
      <c r="S37" s="34">
        <f t="shared" si="13"/>
        <v>40469</v>
      </c>
      <c r="T37" s="34">
        <f t="shared" si="14"/>
        <v>40501</v>
      </c>
      <c r="U37" s="34">
        <f t="shared" si="15"/>
        <v>40533</v>
      </c>
      <c r="V37" s="34">
        <f t="shared" si="16"/>
        <v>40565</v>
      </c>
      <c r="W37" s="34">
        <f t="shared" si="17"/>
        <v>40597</v>
      </c>
      <c r="X37" s="34">
        <f t="shared" si="18"/>
        <v>40629</v>
      </c>
      <c r="Y37" s="34">
        <f t="shared" si="19"/>
        <v>40661</v>
      </c>
      <c r="Z37" s="34">
        <f t="shared" si="20"/>
        <v>40693</v>
      </c>
      <c r="AA37" s="34">
        <f t="shared" si="21"/>
        <v>40725</v>
      </c>
      <c r="AB37" s="34">
        <f t="shared" si="22"/>
        <v>40757</v>
      </c>
      <c r="AC37" s="34">
        <f t="shared" si="23"/>
        <v>40789</v>
      </c>
      <c r="AD37" s="34">
        <f t="shared" si="24"/>
        <v>40821</v>
      </c>
      <c r="AE37" s="34">
        <f t="shared" si="25"/>
        <v>40853</v>
      </c>
      <c r="AF37" s="34">
        <f t="shared" si="26"/>
        <v>40885</v>
      </c>
      <c r="AG37" s="34">
        <f t="shared" si="27"/>
        <v>40917</v>
      </c>
      <c r="AH37" s="34">
        <f t="shared" si="28"/>
        <v>40949</v>
      </c>
      <c r="AI37" s="35">
        <v>1</v>
      </c>
      <c r="AJ37" s="26" t="str">
        <f>RTD("modbusexcel.rtd",,$A$17,$C$17,IF($E$4="n","D",$D$17),E37,$AI37,$D$3,$B$17)</f>
        <v>87</v>
      </c>
      <c r="AK37" s="26" t="str">
        <f>RTD("modbusexcel.rtd",,$A$17,$C$17,IF($E$4="n","D",$D$17),F37,$AI37,$D$3,$B$17)</f>
        <v>84</v>
      </c>
      <c r="AL37" s="26" t="str">
        <f>RTD("modbusexcel.rtd",,$A$17,$C$17,IF($E$4="n","D",$D$17),G37,$AI37,$D$3,$B$17)</f>
        <v>84</v>
      </c>
      <c r="AM37" s="26" t="str">
        <f>RTD("modbusexcel.rtd",,$A$17,$C$17,IF($E$4="n","D",$D$17),H37,$AI37,$D$3,$B$17)</f>
        <v>84</v>
      </c>
      <c r="AN37" s="26" t="str">
        <f>RTD("modbusexcel.rtd",,$A$17,$C$17,IF($E$4="n","D",$D$17),I37,$AI37,$D$3,$B$17)</f>
        <v>84</v>
      </c>
      <c r="AO37" s="26" t="str">
        <f>RTD("modbusexcel.rtd",,$A$17,$C$17,IF($E$4="n","D",$D$17),J37,$AI37,$D$3,$B$17)</f>
        <v>84</v>
      </c>
      <c r="AP37" s="26" t="str">
        <f>RTD("modbusexcel.rtd",,$A$17,$C$17,IF($E$4="n","D",$D$17),K37,$AI37,$D$3,$B$17)</f>
        <v>87</v>
      </c>
      <c r="AQ37" s="26" t="str">
        <f>RTD("modbusexcel.rtd",,$A$17,$C$17,IF($E$4="n","D",$D$17),L37,$AI37,$D$3,$B$17)</f>
        <v>84</v>
      </c>
      <c r="AR37" s="26" t="str">
        <f>RTD("modbusexcel.rtd",,$A$17,$C$17,IF($E$4="n","D",$D$17),M37,$AI37,$D$3,$B$17)</f>
        <v>87</v>
      </c>
      <c r="AS37" s="26" t="str">
        <f>RTD("modbusexcel.rtd",,$A$17,$C$17,IF($E$4="n","D",$D$17),N37,$AI37,$D$3,$B$17)</f>
        <v>87</v>
      </c>
      <c r="AT37" s="26" t="str">
        <f>RTD("modbusexcel.rtd",,$A$17,$C$17,IF($E$4="n","D",$D$17),O37,$AI37,$D$3,$B$17)</f>
        <v>60</v>
      </c>
      <c r="AU37" s="26" t="str">
        <f>RTD("modbusexcel.rtd",,$A$17,$C$17,IF($E$4="n","D",$D$17),P37,$AI37,$D$3,$B$17)</f>
        <v>84</v>
      </c>
      <c r="AV37" s="26" t="str">
        <f>RTD("modbusexcel.rtd",,$A$17,$C$17,IF($E$4="n","D",$D$17),Q37,$AI37,$D$3,$B$17)</f>
        <v>84</v>
      </c>
      <c r="AW37" s="26" t="str">
        <f>RTD("modbusexcel.rtd",,$A$17,$C$17,IF($E$4="n","D",$D$17),R37,$AI37,$D$3,$B$17)</f>
        <v>84</v>
      </c>
      <c r="AX37" s="26" t="str">
        <f>RTD("modbusexcel.rtd",,$A$17,$C$17,IF($E$4="n","D",$D$17),S37,$AI37,$D$3,$B$17)</f>
        <v>84</v>
      </c>
      <c r="AY37" s="26" t="str">
        <f>RTD("modbusexcel.rtd",,$A$17,$C$17,IF($E$4="n","D",$D$17),T37,$AI37,$D$3,$B$17)</f>
        <v>84</v>
      </c>
      <c r="AZ37" s="26" t="str">
        <f>RTD("modbusexcel.rtd",,$A$17,$C$17,IF($E$4="n","D",$D$17),U37,$AI37,$D$3,$B$17)</f>
        <v>84</v>
      </c>
      <c r="BA37" s="26" t="str">
        <f>RTD("modbusexcel.rtd",,$A$17,$C$17,IF($E$4="n","D",$D$17),V37,$AI37,$D$3,$B$17)</f>
        <v>84</v>
      </c>
      <c r="BB37" s="26" t="str">
        <f>RTD("modbusexcel.rtd",,$A$17,$C$17,IF($E$4="n","D",$D$17),W37,$AI37,$D$3,$B$17)</f>
        <v>60</v>
      </c>
      <c r="BC37" s="26" t="str">
        <f>RTD("modbusexcel.rtd",,$A$17,$C$17,IF($E$4="n","D",$D$17),X37,$AI37,$D$3,$B$17)</f>
        <v>60</v>
      </c>
      <c r="BD37" s="26" t="str">
        <f>RTD("modbusexcel.rtd",,$A$17,$C$17,IF($E$4="n","D",$D$17),Y37,$AI37,$D$3,$B$17)</f>
        <v>84</v>
      </c>
      <c r="BE37" s="26" t="str">
        <f>RTD("modbusexcel.rtd",,$A$17,$C$17,IF($E$4="n","D",$D$17),Z37,$AI37,$D$3,$B$17)</f>
        <v>87</v>
      </c>
      <c r="BF37" s="26" t="str">
        <f>RTD("modbusexcel.rtd",,$A$17,$C$17,IF($E$4="n","D",$D$17),AA37,$AI37,$D$3,$B$17)</f>
        <v>87</v>
      </c>
      <c r="BG37" s="26" t="str">
        <f>RTD("modbusexcel.rtd",,$A$17,$C$17,IF($E$4="n","D",$D$17),AB37,$AI37,$D$3,$B$17)</f>
        <v>84</v>
      </c>
      <c r="BH37" s="26" t="str">
        <f>RTD("modbusexcel.rtd",,$A$17,$C$17,IF($E$4="n","D",$D$17),AC37,$AI37,$D$3,$B$17)</f>
        <v>84</v>
      </c>
      <c r="BI37" s="26" t="str">
        <f>RTD("modbusexcel.rtd",,$A$17,$C$17,IF($E$4="n","D",$D$17),AD37,$AI37,$D$3,$B$17)</f>
        <v>87</v>
      </c>
      <c r="BJ37" s="26" t="str">
        <f>RTD("modbusexcel.rtd",,$A$17,$C$17,IF($E$4="n","D",$D$17),AE37,$AI37,$D$3,$B$17)</f>
        <v>84</v>
      </c>
      <c r="BK37" s="26" t="str">
        <f>RTD("modbusexcel.rtd",,$A$17,$C$17,IF($E$4="n","D",$D$17),AF37,$AI37,$D$3,$B$17)</f>
        <v>84</v>
      </c>
      <c r="BL37" s="26" t="str">
        <f>RTD("modbusexcel.rtd",,$A$17,$C$17,IF($E$4="n","D",$D$17),AG37,$AI37,$D$3,$B$17)</f>
        <v>84</v>
      </c>
      <c r="BM37" s="26" t="str">
        <f>RTD("modbusexcel.rtd",,$A$17,$C$17,IF($E$4="n","D",$D$17),AH37,$AI37,$D$3,$B$17)</f>
        <v>84</v>
      </c>
    </row>
    <row r="38" spans="1:65" s="24" customFormat="1" ht="12" x14ac:dyDescent="0.2">
      <c r="E38" s="37">
        <f t="shared" si="29"/>
        <v>40022</v>
      </c>
      <c r="F38" s="34">
        <f t="shared" si="30"/>
        <v>40054</v>
      </c>
      <c r="G38" s="34">
        <f t="shared" si="1"/>
        <v>40086</v>
      </c>
      <c r="H38" s="34">
        <f t="shared" si="2"/>
        <v>40118</v>
      </c>
      <c r="I38" s="34">
        <f t="shared" si="3"/>
        <v>40150</v>
      </c>
      <c r="J38" s="34">
        <f t="shared" si="4"/>
        <v>40182</v>
      </c>
      <c r="K38" s="34">
        <f t="shared" si="5"/>
        <v>40214</v>
      </c>
      <c r="L38" s="34">
        <f t="shared" si="6"/>
        <v>40246</v>
      </c>
      <c r="M38" s="34">
        <f t="shared" si="7"/>
        <v>40278</v>
      </c>
      <c r="N38" s="34">
        <f t="shared" si="8"/>
        <v>40310</v>
      </c>
      <c r="O38" s="34">
        <f t="shared" si="9"/>
        <v>40342</v>
      </c>
      <c r="P38" s="34">
        <f t="shared" si="10"/>
        <v>40374</v>
      </c>
      <c r="Q38" s="34">
        <f t="shared" si="11"/>
        <v>40406</v>
      </c>
      <c r="R38" s="34">
        <f t="shared" si="12"/>
        <v>40438</v>
      </c>
      <c r="S38" s="34">
        <f t="shared" si="13"/>
        <v>40470</v>
      </c>
      <c r="T38" s="34">
        <f t="shared" si="14"/>
        <v>40502</v>
      </c>
      <c r="U38" s="34">
        <f t="shared" si="15"/>
        <v>40534</v>
      </c>
      <c r="V38" s="34">
        <f t="shared" si="16"/>
        <v>40566</v>
      </c>
      <c r="W38" s="34">
        <f t="shared" si="17"/>
        <v>40598</v>
      </c>
      <c r="X38" s="34">
        <f t="shared" si="18"/>
        <v>40630</v>
      </c>
      <c r="Y38" s="34">
        <f t="shared" si="19"/>
        <v>40662</v>
      </c>
      <c r="Z38" s="34">
        <f t="shared" si="20"/>
        <v>40694</v>
      </c>
      <c r="AA38" s="34">
        <f t="shared" si="21"/>
        <v>40726</v>
      </c>
      <c r="AB38" s="34">
        <f t="shared" si="22"/>
        <v>40758</v>
      </c>
      <c r="AC38" s="34">
        <f t="shared" si="23"/>
        <v>40790</v>
      </c>
      <c r="AD38" s="34">
        <f t="shared" si="24"/>
        <v>40822</v>
      </c>
      <c r="AE38" s="34">
        <f t="shared" si="25"/>
        <v>40854</v>
      </c>
      <c r="AF38" s="34">
        <f t="shared" si="26"/>
        <v>40886</v>
      </c>
      <c r="AG38" s="34">
        <f t="shared" si="27"/>
        <v>40918</v>
      </c>
      <c r="AH38" s="34">
        <f t="shared" si="28"/>
        <v>40950</v>
      </c>
      <c r="AI38" s="35">
        <v>1</v>
      </c>
      <c r="AJ38" s="26" t="str">
        <f>RTD("modbusexcel.rtd",,$A$17,$C$17,IF($E$4="n","D",$D$17),E38,$AI38,$D$3,$B$17)</f>
        <v>87</v>
      </c>
      <c r="AK38" s="26" t="str">
        <f>RTD("modbusexcel.rtd",,$A$17,$C$17,IF($E$4="n","D",$D$17),F38,$AI38,$D$3,$B$17)</f>
        <v>84</v>
      </c>
      <c r="AL38" s="26" t="str">
        <f>RTD("modbusexcel.rtd",,$A$17,$C$17,IF($E$4="n","D",$D$17),G38,$AI38,$D$3,$B$17)</f>
        <v>84</v>
      </c>
      <c r="AM38" s="26" t="str">
        <f>RTD("modbusexcel.rtd",,$A$17,$C$17,IF($E$4="n","D",$D$17),H38,$AI38,$D$3,$B$17)</f>
        <v>84</v>
      </c>
      <c r="AN38" s="26" t="str">
        <f>RTD("modbusexcel.rtd",,$A$17,$C$17,IF($E$4="n","D",$D$17),I38,$AI38,$D$3,$B$17)</f>
        <v>84</v>
      </c>
      <c r="AO38" s="26" t="str">
        <f>RTD("modbusexcel.rtd",,$A$17,$C$17,IF($E$4="n","D",$D$17),J38,$AI38,$D$3,$B$17)</f>
        <v>84</v>
      </c>
      <c r="AP38" s="26" t="str">
        <f>RTD("modbusexcel.rtd",,$A$17,$C$17,IF($E$4="n","D",$D$17),K38,$AI38,$D$3,$B$17)</f>
        <v>60</v>
      </c>
      <c r="AQ38" s="26" t="str">
        <f>RTD("modbusexcel.rtd",,$A$17,$C$17,IF($E$4="n","D",$D$17),L38,$AI38,$D$3,$B$17)</f>
        <v>84</v>
      </c>
      <c r="AR38" s="26" t="str">
        <f>RTD("modbusexcel.rtd",,$A$17,$C$17,IF($E$4="n","D",$D$17),M38,$AI38,$D$3,$B$17)</f>
        <v>87</v>
      </c>
      <c r="AS38" s="26" t="str">
        <f>RTD("modbusexcel.rtd",,$A$17,$C$17,IF($E$4="n","D",$D$17),N38,$AI38,$D$3,$B$17)</f>
        <v>87</v>
      </c>
      <c r="AT38" s="26" t="str">
        <f>RTD("modbusexcel.rtd",,$A$17,$C$17,IF($E$4="n","D",$D$17),O38,$AI38,$D$3,$B$17)</f>
        <v>84</v>
      </c>
      <c r="AU38" s="26" t="str">
        <f>RTD("modbusexcel.rtd",,$A$17,$C$17,IF($E$4="n","D",$D$17),P38,$AI38,$D$3,$B$17)</f>
        <v>84</v>
      </c>
      <c r="AV38" s="26" t="str">
        <f>RTD("modbusexcel.rtd",,$A$17,$C$17,IF($E$4="n","D",$D$17),Q38,$AI38,$D$3,$B$17)</f>
        <v>84</v>
      </c>
      <c r="AW38" s="26" t="str">
        <f>RTD("modbusexcel.rtd",,$A$17,$C$17,IF($E$4="n","D",$D$17),R38,$AI38,$D$3,$B$17)</f>
        <v>84</v>
      </c>
      <c r="AX38" s="26" t="str">
        <f>RTD("modbusexcel.rtd",,$A$17,$C$17,IF($E$4="n","D",$D$17),S38,$AI38,$D$3,$B$17)</f>
        <v>84</v>
      </c>
      <c r="AY38" s="26" t="str">
        <f>RTD("modbusexcel.rtd",,$A$17,$C$17,IF($E$4="n","D",$D$17),T38,$AI38,$D$3,$B$17)</f>
        <v>84</v>
      </c>
      <c r="AZ38" s="26" t="str">
        <f>RTD("modbusexcel.rtd",,$A$17,$C$17,IF($E$4="n","D",$D$17),U38,$AI38,$D$3,$B$17)</f>
        <v>84</v>
      </c>
      <c r="BA38" s="26" t="str">
        <f>RTD("modbusexcel.rtd",,$A$17,$C$17,IF($E$4="n","D",$D$17),V38,$AI38,$D$3,$B$17)</f>
        <v>84</v>
      </c>
      <c r="BB38" s="26" t="str">
        <f>RTD("modbusexcel.rtd",,$A$17,$C$17,IF($E$4="n","D",$D$17),W38,$AI38,$D$3,$B$17)</f>
        <v>60</v>
      </c>
      <c r="BC38" s="26" t="str">
        <f>RTD("modbusexcel.rtd",,$A$17,$C$17,IF($E$4="n","D",$D$17),X38,$AI38,$D$3,$B$17)</f>
        <v>84</v>
      </c>
      <c r="BD38" s="26" t="str">
        <f>RTD("modbusexcel.rtd",,$A$17,$C$17,IF($E$4="n","D",$D$17),Y38,$AI38,$D$3,$B$17)</f>
        <v>84</v>
      </c>
      <c r="BE38" s="26" t="str">
        <f>RTD("modbusexcel.rtd",,$A$17,$C$17,IF($E$4="n","D",$D$17),Z38,$AI38,$D$3,$B$17)</f>
        <v>87</v>
      </c>
      <c r="BF38" s="26" t="str">
        <f>RTD("modbusexcel.rtd",,$A$17,$C$17,IF($E$4="n","D",$D$17),AA38,$AI38,$D$3,$B$17)</f>
        <v>60</v>
      </c>
      <c r="BG38" s="26" t="str">
        <f>RTD("modbusexcel.rtd",,$A$17,$C$17,IF($E$4="n","D",$D$17),AB38,$AI38,$D$3,$B$17)</f>
        <v>84</v>
      </c>
      <c r="BH38" s="26" t="str">
        <f>RTD("modbusexcel.rtd",,$A$17,$C$17,IF($E$4="n","D",$D$17),AC38,$AI38,$D$3,$B$17)</f>
        <v>87</v>
      </c>
      <c r="BI38" s="26" t="str">
        <f>RTD("modbusexcel.rtd",,$A$17,$C$17,IF($E$4="n","D",$D$17),AD38,$AI38,$D$3,$B$17)</f>
        <v>87</v>
      </c>
      <c r="BJ38" s="26" t="str">
        <f>RTD("modbusexcel.rtd",,$A$17,$C$17,IF($E$4="n","D",$D$17),AE38,$AI38,$D$3,$B$17)</f>
        <v>84</v>
      </c>
      <c r="BK38" s="26" t="str">
        <f>RTD("modbusexcel.rtd",,$A$17,$C$17,IF($E$4="n","D",$D$17),AF38,$AI38,$D$3,$B$17)</f>
        <v>84</v>
      </c>
      <c r="BL38" s="26" t="str">
        <f>RTD("modbusexcel.rtd",,$A$17,$C$17,IF($E$4="n","D",$D$17),AG38,$AI38,$D$3,$B$17)</f>
        <v>84</v>
      </c>
      <c r="BM38" s="26" t="str">
        <f>RTD("modbusexcel.rtd",,$A$17,$C$17,IF($E$4="n","D",$D$17),AH38,$AI38,$D$3,$B$17)</f>
        <v>84</v>
      </c>
    </row>
    <row r="39" spans="1:65" s="24" customFormat="1" ht="12" x14ac:dyDescent="0.2">
      <c r="E39" s="37">
        <f t="shared" si="29"/>
        <v>40023</v>
      </c>
      <c r="F39" s="34">
        <f t="shared" si="30"/>
        <v>40055</v>
      </c>
      <c r="G39" s="34">
        <f t="shared" si="1"/>
        <v>40087</v>
      </c>
      <c r="H39" s="34">
        <f t="shared" si="2"/>
        <v>40119</v>
      </c>
      <c r="I39" s="34">
        <f t="shared" si="3"/>
        <v>40151</v>
      </c>
      <c r="J39" s="34">
        <f t="shared" si="4"/>
        <v>40183</v>
      </c>
      <c r="K39" s="34">
        <f t="shared" si="5"/>
        <v>40215</v>
      </c>
      <c r="L39" s="34">
        <f t="shared" si="6"/>
        <v>40247</v>
      </c>
      <c r="M39" s="34">
        <f t="shared" si="7"/>
        <v>40279</v>
      </c>
      <c r="N39" s="34">
        <f t="shared" si="8"/>
        <v>40311</v>
      </c>
      <c r="O39" s="34">
        <f t="shared" si="9"/>
        <v>40343</v>
      </c>
      <c r="P39" s="34">
        <f t="shared" si="10"/>
        <v>40375</v>
      </c>
      <c r="Q39" s="34">
        <f t="shared" si="11"/>
        <v>40407</v>
      </c>
      <c r="R39" s="34">
        <f t="shared" si="12"/>
        <v>40439</v>
      </c>
      <c r="S39" s="34">
        <f t="shared" si="13"/>
        <v>40471</v>
      </c>
      <c r="T39" s="34">
        <f t="shared" si="14"/>
        <v>40503</v>
      </c>
      <c r="U39" s="34">
        <f t="shared" si="15"/>
        <v>40535</v>
      </c>
      <c r="V39" s="34">
        <f t="shared" si="16"/>
        <v>40567</v>
      </c>
      <c r="W39" s="34">
        <f t="shared" si="17"/>
        <v>40599</v>
      </c>
      <c r="X39" s="34">
        <f t="shared" si="18"/>
        <v>40631</v>
      </c>
      <c r="Y39" s="34">
        <f t="shared" si="19"/>
        <v>40663</v>
      </c>
      <c r="Z39" s="34">
        <f t="shared" si="20"/>
        <v>40695</v>
      </c>
      <c r="AA39" s="34">
        <f t="shared" si="21"/>
        <v>40727</v>
      </c>
      <c r="AB39" s="34">
        <f t="shared" si="22"/>
        <v>40759</v>
      </c>
      <c r="AC39" s="34">
        <f t="shared" si="23"/>
        <v>40791</v>
      </c>
      <c r="AD39" s="34">
        <f t="shared" si="24"/>
        <v>40823</v>
      </c>
      <c r="AE39" s="34">
        <f t="shared" si="25"/>
        <v>40855</v>
      </c>
      <c r="AF39" s="34">
        <f t="shared" si="26"/>
        <v>40887</v>
      </c>
      <c r="AG39" s="34">
        <f t="shared" si="27"/>
        <v>40919</v>
      </c>
      <c r="AH39" s="34">
        <f t="shared" si="28"/>
        <v>40951</v>
      </c>
      <c r="AI39" s="35">
        <v>1</v>
      </c>
      <c r="AJ39" s="26" t="str">
        <f>RTD("modbusexcel.rtd",,$A$17,$C$17,IF($E$4="n","D",$D$17),E39,$AI39,$D$3,$B$17)</f>
        <v>87</v>
      </c>
      <c r="AK39" s="26" t="str">
        <f>RTD("modbusexcel.rtd",,$A$17,$C$17,IF($E$4="n","D",$D$17),F39,$AI39,$D$3,$B$17)</f>
        <v>84</v>
      </c>
      <c r="AL39" s="26" t="str">
        <f>RTD("modbusexcel.rtd",,$A$17,$C$17,IF($E$4="n","D",$D$17),G39,$AI39,$D$3,$B$17)</f>
        <v>84</v>
      </c>
      <c r="AM39" s="26" t="str">
        <f>RTD("modbusexcel.rtd",,$A$17,$C$17,IF($E$4="n","D",$D$17),H39,$AI39,$D$3,$B$17)</f>
        <v>84</v>
      </c>
      <c r="AN39" s="26" t="str">
        <f>RTD("modbusexcel.rtd",,$A$17,$C$17,IF($E$4="n","D",$D$17),I39,$AI39,$D$3,$B$17)</f>
        <v>84</v>
      </c>
      <c r="AO39" s="26" t="str">
        <f>RTD("modbusexcel.rtd",,$A$17,$C$17,IF($E$4="n","D",$D$17),J39,$AI39,$D$3,$B$17)</f>
        <v>84</v>
      </c>
      <c r="AP39" s="26" t="str">
        <f>RTD("modbusexcel.rtd",,$A$17,$C$17,IF($E$4="n","D",$D$17),K39,$AI39,$D$3,$B$17)</f>
        <v>60</v>
      </c>
      <c r="AQ39" s="26" t="str">
        <f>RTD("modbusexcel.rtd",,$A$17,$C$17,IF($E$4="n","D",$D$17),L39,$AI39,$D$3,$B$17)</f>
        <v>84</v>
      </c>
      <c r="AR39" s="26" t="str">
        <f>RTD("modbusexcel.rtd",,$A$17,$C$17,IF($E$4="n","D",$D$17),M39,$AI39,$D$3,$B$17)</f>
        <v>87</v>
      </c>
      <c r="AS39" s="26" t="str">
        <f>RTD("modbusexcel.rtd",,$A$17,$C$17,IF($E$4="n","D",$D$17),N39,$AI39,$D$3,$B$17)</f>
        <v>87</v>
      </c>
      <c r="AT39" s="26" t="str">
        <f>RTD("modbusexcel.rtd",,$A$17,$C$17,IF($E$4="n","D",$D$17),O39,$AI39,$D$3,$B$17)</f>
        <v>60</v>
      </c>
      <c r="AU39" s="26" t="str">
        <f>RTD("modbusexcel.rtd",,$A$17,$C$17,IF($E$4="n","D",$D$17),P39,$AI39,$D$3,$B$17)</f>
        <v>84</v>
      </c>
      <c r="AV39" s="26" t="str">
        <f>RTD("modbusexcel.rtd",,$A$17,$C$17,IF($E$4="n","D",$D$17),Q39,$AI39,$D$3,$B$17)</f>
        <v>84</v>
      </c>
      <c r="AW39" s="26" t="str">
        <f>RTD("modbusexcel.rtd",,$A$17,$C$17,IF($E$4="n","D",$D$17),R39,$AI39,$D$3,$B$17)</f>
        <v>84</v>
      </c>
      <c r="AX39" s="26" t="str">
        <f>RTD("modbusexcel.rtd",,$A$17,$C$17,IF($E$4="n","D",$D$17),S39,$AI39,$D$3,$B$17)</f>
        <v>84</v>
      </c>
      <c r="AY39" s="26" t="str">
        <f>RTD("modbusexcel.rtd",,$A$17,$C$17,IF($E$4="n","D",$D$17),T39,$AI39,$D$3,$B$17)</f>
        <v>84</v>
      </c>
      <c r="AZ39" s="26" t="str">
        <f>RTD("modbusexcel.rtd",,$A$17,$C$17,IF($E$4="n","D",$D$17),U39,$AI39,$D$3,$B$17)</f>
        <v>84</v>
      </c>
      <c r="BA39" s="26" t="str">
        <f>RTD("modbusexcel.rtd",,$A$17,$C$17,IF($E$4="n","D",$D$17),V39,$AI39,$D$3,$B$17)</f>
        <v>84</v>
      </c>
      <c r="BB39" s="26" t="str">
        <f>RTD("modbusexcel.rtd",,$A$17,$C$17,IF($E$4="n","D",$D$17),W39,$AI39,$D$3,$B$17)</f>
        <v>60</v>
      </c>
      <c r="BC39" s="26" t="str">
        <f>RTD("modbusexcel.rtd",,$A$17,$C$17,IF($E$4="n","D",$D$17),X39,$AI39,$D$3,$B$17)</f>
        <v>84</v>
      </c>
      <c r="BD39" s="26" t="str">
        <f>RTD("modbusexcel.rtd",,$A$17,$C$17,IF($E$4="n","D",$D$17),Y39,$AI39,$D$3,$B$17)</f>
        <v>84</v>
      </c>
      <c r="BE39" s="26" t="str">
        <f>RTD("modbusexcel.rtd",,$A$17,$C$17,IF($E$4="n","D",$D$17),Z39,$AI39,$D$3,$B$17)</f>
        <v>87</v>
      </c>
      <c r="BF39" s="26" t="str">
        <f>RTD("modbusexcel.rtd",,$A$17,$C$17,IF($E$4="n","D",$D$17),AA39,$AI39,$D$3,$B$17)</f>
        <v>60</v>
      </c>
      <c r="BG39" s="26" t="str">
        <f>RTD("modbusexcel.rtd",,$A$17,$C$17,IF($E$4="n","D",$D$17),AB39,$AI39,$D$3,$B$17)</f>
        <v>84</v>
      </c>
      <c r="BH39" s="26" t="str">
        <f>RTD("modbusexcel.rtd",,$A$17,$C$17,IF($E$4="n","D",$D$17),AC39,$AI39,$D$3,$B$17)</f>
        <v>87</v>
      </c>
      <c r="BI39" s="26" t="str">
        <f>RTD("modbusexcel.rtd",,$A$17,$C$17,IF($E$4="n","D",$D$17),AD39,$AI39,$D$3,$B$17)</f>
        <v>87</v>
      </c>
      <c r="BJ39" s="26" t="str">
        <f>RTD("modbusexcel.rtd",,$A$17,$C$17,IF($E$4="n","D",$D$17),AE39,$AI39,$D$3,$B$17)</f>
        <v>84</v>
      </c>
      <c r="BK39" s="26" t="str">
        <f>RTD("modbusexcel.rtd",,$A$17,$C$17,IF($E$4="n","D",$D$17),AF39,$AI39,$D$3,$B$17)</f>
        <v>84</v>
      </c>
      <c r="BL39" s="26" t="str">
        <f>RTD("modbusexcel.rtd",,$A$17,$C$17,IF($E$4="n","D",$D$17),AG39,$AI39,$D$3,$B$17)</f>
        <v>84</v>
      </c>
      <c r="BM39" s="26" t="str">
        <f>RTD("modbusexcel.rtd",,$A$17,$C$17,IF($E$4="n","D",$D$17),AH39,$AI39,$D$3,$B$17)</f>
        <v>84</v>
      </c>
    </row>
    <row r="40" spans="1:65" s="24" customFormat="1" ht="12" x14ac:dyDescent="0.2">
      <c r="E40" s="37">
        <f t="shared" si="29"/>
        <v>40024</v>
      </c>
      <c r="F40" s="34">
        <f t="shared" si="30"/>
        <v>40056</v>
      </c>
      <c r="G40" s="34">
        <f t="shared" si="1"/>
        <v>40088</v>
      </c>
      <c r="H40" s="34">
        <f t="shared" si="2"/>
        <v>40120</v>
      </c>
      <c r="I40" s="34">
        <f t="shared" si="3"/>
        <v>40152</v>
      </c>
      <c r="J40" s="34">
        <f t="shared" si="4"/>
        <v>40184</v>
      </c>
      <c r="K40" s="34">
        <f t="shared" si="5"/>
        <v>40216</v>
      </c>
      <c r="L40" s="34">
        <f t="shared" si="6"/>
        <v>40248</v>
      </c>
      <c r="M40" s="34">
        <f t="shared" si="7"/>
        <v>40280</v>
      </c>
      <c r="N40" s="34">
        <f t="shared" si="8"/>
        <v>40312</v>
      </c>
      <c r="O40" s="34">
        <f t="shared" si="9"/>
        <v>40344</v>
      </c>
      <c r="P40" s="34">
        <f t="shared" si="10"/>
        <v>40376</v>
      </c>
      <c r="Q40" s="34">
        <f t="shared" si="11"/>
        <v>40408</v>
      </c>
      <c r="R40" s="34">
        <f t="shared" si="12"/>
        <v>40440</v>
      </c>
      <c r="S40" s="34">
        <f t="shared" si="13"/>
        <v>40472</v>
      </c>
      <c r="T40" s="34">
        <f t="shared" si="14"/>
        <v>40504</v>
      </c>
      <c r="U40" s="34">
        <f t="shared" si="15"/>
        <v>40536</v>
      </c>
      <c r="V40" s="34">
        <f t="shared" si="16"/>
        <v>40568</v>
      </c>
      <c r="W40" s="34">
        <f t="shared" si="17"/>
        <v>40600</v>
      </c>
      <c r="X40" s="34">
        <f t="shared" si="18"/>
        <v>40632</v>
      </c>
      <c r="Y40" s="34">
        <f t="shared" si="19"/>
        <v>40664</v>
      </c>
      <c r="Z40" s="34">
        <f t="shared" si="20"/>
        <v>40696</v>
      </c>
      <c r="AA40" s="34">
        <f t="shared" si="21"/>
        <v>40728</v>
      </c>
      <c r="AB40" s="34">
        <f t="shared" si="22"/>
        <v>40760</v>
      </c>
      <c r="AC40" s="34">
        <f t="shared" si="23"/>
        <v>40792</v>
      </c>
      <c r="AD40" s="34">
        <f t="shared" si="24"/>
        <v>40824</v>
      </c>
      <c r="AE40" s="34">
        <f t="shared" si="25"/>
        <v>40856</v>
      </c>
      <c r="AF40" s="34">
        <f t="shared" si="26"/>
        <v>40888</v>
      </c>
      <c r="AG40" s="34">
        <f t="shared" si="27"/>
        <v>40920</v>
      </c>
      <c r="AH40" s="34">
        <f t="shared" si="28"/>
        <v>40952</v>
      </c>
      <c r="AI40" s="35">
        <v>1</v>
      </c>
      <c r="AJ40" s="26" t="str">
        <f>RTD("modbusexcel.rtd",,$A$17,$C$17,IF($E$4="n","D",$D$17),E40,$AI40,$D$3,$B$17)</f>
        <v>87</v>
      </c>
      <c r="AK40" s="26" t="str">
        <f>RTD("modbusexcel.rtd",,$A$17,$C$17,IF($E$4="n","D",$D$17),F40,$AI40,$D$3,$B$17)</f>
        <v>84</v>
      </c>
      <c r="AL40" s="26" t="str">
        <f>RTD("modbusexcel.rtd",,$A$17,$C$17,IF($E$4="n","D",$D$17),G40,$AI40,$D$3,$B$17)</f>
        <v>84</v>
      </c>
      <c r="AM40" s="26" t="str">
        <f>RTD("modbusexcel.rtd",,$A$17,$C$17,IF($E$4="n","D",$D$17),H40,$AI40,$D$3,$B$17)</f>
        <v>87</v>
      </c>
      <c r="AN40" s="26" t="str">
        <f>RTD("modbusexcel.rtd",,$A$17,$C$17,IF($E$4="n","D",$D$17),I40,$AI40,$D$3,$B$17)</f>
        <v>84</v>
      </c>
      <c r="AO40" s="26" t="str">
        <f>RTD("modbusexcel.rtd",,$A$17,$C$17,IF($E$4="n","D",$D$17),J40,$AI40,$D$3,$B$17)</f>
        <v>84</v>
      </c>
      <c r="AP40" s="26" t="str">
        <f>RTD("modbusexcel.rtd",,$A$17,$C$17,IF($E$4="n","D",$D$17),K40,$AI40,$D$3,$B$17)</f>
        <v>84</v>
      </c>
      <c r="AQ40" s="26" t="str">
        <f>RTD("modbusexcel.rtd",,$A$17,$C$17,IF($E$4="n","D",$D$17),L40,$AI40,$D$3,$B$17)</f>
        <v>84</v>
      </c>
      <c r="AR40" s="26" t="str">
        <f>RTD("modbusexcel.rtd",,$A$17,$C$17,IF($E$4="n","D",$D$17),M40,$AI40,$D$3,$B$17)</f>
        <v>84</v>
      </c>
      <c r="AS40" s="26" t="str">
        <f>RTD("modbusexcel.rtd",,$A$17,$C$17,IF($E$4="n","D",$D$17),N40,$AI40,$D$3,$B$17)</f>
        <v>60</v>
      </c>
      <c r="AT40" s="26" t="str">
        <f>RTD("modbusexcel.rtd",,$A$17,$C$17,IF($E$4="n","D",$D$17),O40,$AI40,$D$3,$B$17)</f>
        <v>84</v>
      </c>
      <c r="AU40" s="26" t="str">
        <f>RTD("modbusexcel.rtd",,$A$17,$C$17,IF($E$4="n","D",$D$17),P40,$AI40,$D$3,$B$17)</f>
        <v>87</v>
      </c>
      <c r="AV40" s="26" t="str">
        <f>RTD("modbusexcel.rtd",,$A$17,$C$17,IF($E$4="n","D",$D$17),Q40,$AI40,$D$3,$B$17)</f>
        <v>87</v>
      </c>
      <c r="AW40" s="26" t="str">
        <f>RTD("modbusexcel.rtd",,$A$17,$C$17,IF($E$4="n","D",$D$17),R40,$AI40,$D$3,$B$17)</f>
        <v>60</v>
      </c>
      <c r="AX40" s="26" t="str">
        <f>RTD("modbusexcel.rtd",,$A$17,$C$17,IF($E$4="n","D",$D$17),S40,$AI40,$D$3,$B$17)</f>
        <v>84</v>
      </c>
      <c r="AY40" s="26" t="str">
        <f>RTD("modbusexcel.rtd",,$A$17,$C$17,IF($E$4="n","D",$D$17),T40,$AI40,$D$3,$B$17)</f>
        <v>84</v>
      </c>
      <c r="AZ40" s="26" t="str">
        <f>RTD("modbusexcel.rtd",,$A$17,$C$17,IF($E$4="n","D",$D$17),U40,$AI40,$D$3,$B$17)</f>
        <v>84</v>
      </c>
      <c r="BA40" s="26" t="str">
        <f>RTD("modbusexcel.rtd",,$A$17,$C$17,IF($E$4="n","D",$D$17),V40,$AI40,$D$3,$B$17)</f>
        <v>84</v>
      </c>
      <c r="BB40" s="26" t="str">
        <f>RTD("modbusexcel.rtd",,$A$17,$C$17,IF($E$4="n","D",$D$17),W40,$AI40,$D$3,$B$17)</f>
        <v>84</v>
      </c>
      <c r="BC40" s="26" t="str">
        <f>RTD("modbusexcel.rtd",,$A$17,$C$17,IF($E$4="n","D",$D$17),X40,$AI40,$D$3,$B$17)</f>
        <v>84</v>
      </c>
      <c r="BD40" s="26" t="str">
        <f>RTD("modbusexcel.rtd",,$A$17,$C$17,IF($E$4="n","D",$D$17),Y40,$AI40,$D$3,$B$17)</f>
        <v>84</v>
      </c>
      <c r="BE40" s="26" t="str">
        <f>RTD("modbusexcel.rtd",,$A$17,$C$17,IF($E$4="n","D",$D$17),Z40,$AI40,$D$3,$B$17)</f>
        <v>60</v>
      </c>
      <c r="BF40" s="26" t="str">
        <f>RTD("modbusexcel.rtd",,$A$17,$C$17,IF($E$4="n","D",$D$17),AA40,$AI40,$D$3,$B$17)</f>
        <v>84</v>
      </c>
      <c r="BG40" s="26" t="str">
        <f>RTD("modbusexcel.rtd",,$A$17,$C$17,IF($E$4="n","D",$D$17),AB40,$AI40,$D$3,$B$17)</f>
        <v>84</v>
      </c>
      <c r="BH40" s="26" t="str">
        <f>RTD("modbusexcel.rtd",,$A$17,$C$17,IF($E$4="n","D",$D$17),AC40,$AI40,$D$3,$B$17)</f>
        <v>87</v>
      </c>
      <c r="BI40" s="26" t="str">
        <f>RTD("modbusexcel.rtd",,$A$17,$C$17,IF($E$4="n","D",$D$17),AD40,$AI40,$D$3,$B$17)</f>
        <v>87</v>
      </c>
      <c r="BJ40" s="26" t="str">
        <f>RTD("modbusexcel.rtd",,$A$17,$C$17,IF($E$4="n","D",$D$17),AE40,$AI40,$D$3,$B$17)</f>
        <v>84</v>
      </c>
      <c r="BK40" s="26" t="str">
        <f>RTD("modbusexcel.rtd",,$A$17,$C$17,IF($E$4="n","D",$D$17),AF40,$AI40,$D$3,$B$17)</f>
        <v>84</v>
      </c>
      <c r="BL40" s="26" t="str">
        <f>RTD("modbusexcel.rtd",,$A$17,$C$17,IF($E$4="n","D",$D$17),AG40,$AI40,$D$3,$B$17)</f>
        <v>87</v>
      </c>
      <c r="BM40" s="26" t="str">
        <f>RTD("modbusexcel.rtd",,$A$17,$C$17,IF($E$4="n","D",$D$17),AH40,$AI40,$D$3,$B$17)</f>
        <v>84</v>
      </c>
    </row>
    <row r="41" spans="1:65" s="24" customFormat="1" ht="12" x14ac:dyDescent="0.2">
      <c r="E41" s="37">
        <f t="shared" si="29"/>
        <v>40025</v>
      </c>
      <c r="F41" s="34">
        <f t="shared" si="30"/>
        <v>40057</v>
      </c>
      <c r="G41" s="34">
        <f t="shared" si="1"/>
        <v>40089</v>
      </c>
      <c r="H41" s="34">
        <f t="shared" si="2"/>
        <v>40121</v>
      </c>
      <c r="I41" s="34">
        <f t="shared" si="3"/>
        <v>40153</v>
      </c>
      <c r="J41" s="34">
        <f t="shared" si="4"/>
        <v>40185</v>
      </c>
      <c r="K41" s="34">
        <f t="shared" si="5"/>
        <v>40217</v>
      </c>
      <c r="L41" s="34">
        <f t="shared" si="6"/>
        <v>40249</v>
      </c>
      <c r="M41" s="34">
        <f t="shared" si="7"/>
        <v>40281</v>
      </c>
      <c r="N41" s="34">
        <f t="shared" si="8"/>
        <v>40313</v>
      </c>
      <c r="O41" s="34">
        <f t="shared" si="9"/>
        <v>40345</v>
      </c>
      <c r="P41" s="34">
        <f t="shared" si="10"/>
        <v>40377</v>
      </c>
      <c r="Q41" s="34">
        <f t="shared" si="11"/>
        <v>40409</v>
      </c>
      <c r="R41" s="34">
        <f t="shared" si="12"/>
        <v>40441</v>
      </c>
      <c r="S41" s="34">
        <f t="shared" si="13"/>
        <v>40473</v>
      </c>
      <c r="T41" s="34">
        <f t="shared" si="14"/>
        <v>40505</v>
      </c>
      <c r="U41" s="34">
        <f t="shared" si="15"/>
        <v>40537</v>
      </c>
      <c r="V41" s="34">
        <f t="shared" si="16"/>
        <v>40569</v>
      </c>
      <c r="W41" s="34">
        <f t="shared" si="17"/>
        <v>40601</v>
      </c>
      <c r="X41" s="34">
        <f t="shared" si="18"/>
        <v>40633</v>
      </c>
      <c r="Y41" s="34">
        <f t="shared" si="19"/>
        <v>40665</v>
      </c>
      <c r="Z41" s="34">
        <f t="shared" si="20"/>
        <v>40697</v>
      </c>
      <c r="AA41" s="34">
        <f t="shared" si="21"/>
        <v>40729</v>
      </c>
      <c r="AB41" s="34">
        <f t="shared" si="22"/>
        <v>40761</v>
      </c>
      <c r="AC41" s="34">
        <f t="shared" si="23"/>
        <v>40793</v>
      </c>
      <c r="AD41" s="34">
        <f t="shared" si="24"/>
        <v>40825</v>
      </c>
      <c r="AE41" s="34">
        <f t="shared" si="25"/>
        <v>40857</v>
      </c>
      <c r="AF41" s="34">
        <f t="shared" si="26"/>
        <v>40889</v>
      </c>
      <c r="AG41" s="34">
        <f t="shared" si="27"/>
        <v>40921</v>
      </c>
      <c r="AH41" s="34">
        <f t="shared" si="28"/>
        <v>40953</v>
      </c>
      <c r="AI41" s="35">
        <v>1</v>
      </c>
      <c r="AJ41" s="26" t="str">
        <f>RTD("modbusexcel.rtd",,$A$17,$C$17,IF($E$4="n","D",$D$17),E41,$AI41,$D$3,$B$17)</f>
        <v>87</v>
      </c>
      <c r="AK41" s="26" t="str">
        <f>RTD("modbusexcel.rtd",,$A$17,$C$17,IF($E$4="n","D",$D$17),F41,$AI41,$D$3,$B$17)</f>
        <v>84</v>
      </c>
      <c r="AL41" s="26" t="str">
        <f>RTD("modbusexcel.rtd",,$A$17,$C$17,IF($E$4="n","D",$D$17),G41,$AI41,$D$3,$B$17)</f>
        <v>84</v>
      </c>
      <c r="AM41" s="26" t="str">
        <f>RTD("modbusexcel.rtd",,$A$17,$C$17,IF($E$4="n","D",$D$17),H41,$AI41,$D$3,$B$17)</f>
        <v>87</v>
      </c>
      <c r="AN41" s="26" t="str">
        <f>RTD("modbusexcel.rtd",,$A$17,$C$17,IF($E$4="n","D",$D$17),I41,$AI41,$D$3,$B$17)</f>
        <v>84</v>
      </c>
      <c r="AO41" s="26" t="str">
        <f>RTD("modbusexcel.rtd",,$A$17,$C$17,IF($E$4="n","D",$D$17),J41,$AI41,$D$3,$B$17)</f>
        <v>84</v>
      </c>
      <c r="AP41" s="26" t="str">
        <f>RTD("modbusexcel.rtd",,$A$17,$C$17,IF($E$4="n","D",$D$17),K41,$AI41,$D$3,$B$17)</f>
        <v>84</v>
      </c>
      <c r="AQ41" s="26" t="str">
        <f>RTD("modbusexcel.rtd",,$A$17,$C$17,IF($E$4="n","D",$D$17),L41,$AI41,$D$3,$B$17)</f>
        <v>84</v>
      </c>
      <c r="AR41" s="26" t="str">
        <f>RTD("modbusexcel.rtd",,$A$17,$C$17,IF($E$4="n","D",$D$17),M41,$AI41,$D$3,$B$17)</f>
        <v>84</v>
      </c>
      <c r="AS41" s="26" t="str">
        <f>RTD("modbusexcel.rtd",,$A$17,$C$17,IF($E$4="n","D",$D$17),N41,$AI41,$D$3,$B$17)</f>
        <v>87</v>
      </c>
      <c r="AT41" s="26" t="str">
        <f>RTD("modbusexcel.rtd",,$A$17,$C$17,IF($E$4="n","D",$D$17),O41,$AI41,$D$3,$B$17)</f>
        <v>84</v>
      </c>
      <c r="AU41" s="26" t="str">
        <f>RTD("modbusexcel.rtd",,$A$17,$C$17,IF($E$4="n","D",$D$17),P41,$AI41,$D$3,$B$17)</f>
        <v>87</v>
      </c>
      <c r="AV41" s="26" t="str">
        <f>RTD("modbusexcel.rtd",,$A$17,$C$17,IF($E$4="n","D",$D$17),Q41,$AI41,$D$3,$B$17)</f>
        <v>87</v>
      </c>
      <c r="AW41" s="26" t="str">
        <f>RTD("modbusexcel.rtd",,$A$17,$C$17,IF($E$4="n","D",$D$17),R41,$AI41,$D$3,$B$17)</f>
        <v>60</v>
      </c>
      <c r="AX41" s="26" t="str">
        <f>RTD("modbusexcel.rtd",,$A$17,$C$17,IF($E$4="n","D",$D$17),S41,$AI41,$D$3,$B$17)</f>
        <v>84</v>
      </c>
      <c r="AY41" s="26" t="str">
        <f>RTD("modbusexcel.rtd",,$A$17,$C$17,IF($E$4="n","D",$D$17),T41,$AI41,$D$3,$B$17)</f>
        <v>84</v>
      </c>
      <c r="AZ41" s="26" t="str">
        <f>RTD("modbusexcel.rtd",,$A$17,$C$17,IF($E$4="n","D",$D$17),U41,$AI41,$D$3,$B$17)</f>
        <v>84</v>
      </c>
      <c r="BA41" s="26" t="str">
        <f>RTD("modbusexcel.rtd",,$A$17,$C$17,IF($E$4="n","D",$D$17),V41,$AI41,$D$3,$B$17)</f>
        <v>84</v>
      </c>
      <c r="BB41" s="26" t="str">
        <f>RTD("modbusexcel.rtd",,$A$17,$C$17,IF($E$4="n","D",$D$17),W41,$AI41,$D$3,$B$17)</f>
        <v>84</v>
      </c>
      <c r="BC41" s="26" t="str">
        <f>RTD("modbusexcel.rtd",,$A$17,$C$17,IF($E$4="n","D",$D$17),X41,$AI41,$D$3,$B$17)</f>
        <v>84</v>
      </c>
      <c r="BD41" s="26" t="str">
        <f>RTD("modbusexcel.rtd",,$A$17,$C$17,IF($E$4="n","D",$D$17),Y41,$AI41,$D$3,$B$17)</f>
        <v>84</v>
      </c>
      <c r="BE41" s="26" t="str">
        <f>RTD("modbusexcel.rtd",,$A$17,$C$17,IF($E$4="n","D",$D$17),Z41,$AI41,$D$3,$B$17)</f>
        <v>60</v>
      </c>
      <c r="BF41" s="26" t="str">
        <f>RTD("modbusexcel.rtd",,$A$17,$C$17,IF($E$4="n","D",$D$17),AA41,$AI41,$D$3,$B$17)</f>
        <v>60</v>
      </c>
      <c r="BG41" s="26" t="str">
        <f>RTD("modbusexcel.rtd",,$A$17,$C$17,IF($E$4="n","D",$D$17),AB41,$AI41,$D$3,$B$17)</f>
        <v>84</v>
      </c>
      <c r="BH41" s="26" t="str">
        <f>RTD("modbusexcel.rtd",,$A$17,$C$17,IF($E$4="n","D",$D$17),AC41,$AI41,$D$3,$B$17)</f>
        <v>87</v>
      </c>
      <c r="BI41" s="26" t="str">
        <f>RTD("modbusexcel.rtd",,$A$17,$C$17,IF($E$4="n","D",$D$17),AD41,$AI41,$D$3,$B$17)</f>
        <v>87</v>
      </c>
      <c r="BJ41" s="26" t="str">
        <f>RTD("modbusexcel.rtd",,$A$17,$C$17,IF($E$4="n","D",$D$17),AE41,$AI41,$D$3,$B$17)</f>
        <v>84</v>
      </c>
      <c r="BK41" s="26" t="str">
        <f>RTD("modbusexcel.rtd",,$A$17,$C$17,IF($E$4="n","D",$D$17),AF41,$AI41,$D$3,$B$17)</f>
        <v>84</v>
      </c>
      <c r="BL41" s="26" t="str">
        <f>RTD("modbusexcel.rtd",,$A$17,$C$17,IF($E$4="n","D",$D$17),AG41,$AI41,$D$3,$B$17)</f>
        <v>87</v>
      </c>
      <c r="BM41" s="26" t="str">
        <f>RTD("modbusexcel.rtd",,$A$17,$C$17,IF($E$4="n","D",$D$17),AH41,$AI41,$D$3,$B$17)</f>
        <v>84</v>
      </c>
    </row>
    <row r="42" spans="1:65" s="24" customFormat="1" ht="12" x14ac:dyDescent="0.2">
      <c r="E42" s="37">
        <f t="shared" si="29"/>
        <v>40026</v>
      </c>
      <c r="F42" s="34">
        <f t="shared" si="30"/>
        <v>40058</v>
      </c>
      <c r="G42" s="34">
        <f t="shared" si="1"/>
        <v>40090</v>
      </c>
      <c r="H42" s="34">
        <f t="shared" si="2"/>
        <v>40122</v>
      </c>
      <c r="I42" s="34">
        <f t="shared" si="3"/>
        <v>40154</v>
      </c>
      <c r="J42" s="34">
        <f t="shared" si="4"/>
        <v>40186</v>
      </c>
      <c r="K42" s="34">
        <f t="shared" si="5"/>
        <v>40218</v>
      </c>
      <c r="L42" s="34">
        <f t="shared" si="6"/>
        <v>40250</v>
      </c>
      <c r="M42" s="34">
        <f t="shared" si="7"/>
        <v>40282</v>
      </c>
      <c r="N42" s="34">
        <f t="shared" si="8"/>
        <v>40314</v>
      </c>
      <c r="O42" s="34">
        <f t="shared" si="9"/>
        <v>40346</v>
      </c>
      <c r="P42" s="34">
        <f t="shared" si="10"/>
        <v>40378</v>
      </c>
      <c r="Q42" s="34">
        <f t="shared" si="11"/>
        <v>40410</v>
      </c>
      <c r="R42" s="34">
        <f t="shared" si="12"/>
        <v>40442</v>
      </c>
      <c r="S42" s="34">
        <f t="shared" si="13"/>
        <v>40474</v>
      </c>
      <c r="T42" s="34">
        <f t="shared" si="14"/>
        <v>40506</v>
      </c>
      <c r="U42" s="34">
        <f t="shared" si="15"/>
        <v>40538</v>
      </c>
      <c r="V42" s="34">
        <f t="shared" si="16"/>
        <v>40570</v>
      </c>
      <c r="W42" s="34">
        <f t="shared" si="17"/>
        <v>40602</v>
      </c>
      <c r="X42" s="34">
        <f t="shared" si="18"/>
        <v>40634</v>
      </c>
      <c r="Y42" s="34">
        <f t="shared" si="19"/>
        <v>40666</v>
      </c>
      <c r="Z42" s="34">
        <f t="shared" si="20"/>
        <v>40698</v>
      </c>
      <c r="AA42" s="34">
        <f t="shared" si="21"/>
        <v>40730</v>
      </c>
      <c r="AB42" s="34">
        <f t="shared" si="22"/>
        <v>40762</v>
      </c>
      <c r="AC42" s="34">
        <f t="shared" si="23"/>
        <v>40794</v>
      </c>
      <c r="AD42" s="34">
        <f t="shared" si="24"/>
        <v>40826</v>
      </c>
      <c r="AE42" s="34">
        <f t="shared" si="25"/>
        <v>40858</v>
      </c>
      <c r="AF42" s="34">
        <f t="shared" si="26"/>
        <v>40890</v>
      </c>
      <c r="AG42" s="34">
        <f t="shared" si="27"/>
        <v>40922</v>
      </c>
      <c r="AH42" s="34">
        <f t="shared" si="28"/>
        <v>40954</v>
      </c>
      <c r="AI42" s="35">
        <v>1</v>
      </c>
      <c r="AJ42" s="26" t="str">
        <f>RTD("modbusexcel.rtd",,$A$17,$C$17,IF($E$4="n","D",$D$17),E42,$AI42,$D$3,$B$17)</f>
        <v>60</v>
      </c>
      <c r="AK42" s="26" t="str">
        <f>RTD("modbusexcel.rtd",,$A$17,$C$17,IF($E$4="n","D",$D$17),F42,$AI42,$D$3,$B$17)</f>
        <v>84</v>
      </c>
      <c r="AL42" s="26" t="str">
        <f>RTD("modbusexcel.rtd",,$A$17,$C$17,IF($E$4="n","D",$D$17),G42,$AI42,$D$3,$B$17)</f>
        <v>87</v>
      </c>
      <c r="AM42" s="26" t="str">
        <f>RTD("modbusexcel.rtd",,$A$17,$C$17,IF($E$4="n","D",$D$17),H42,$AI42,$D$3,$B$17)</f>
        <v>87</v>
      </c>
      <c r="AN42" s="26" t="str">
        <f>RTD("modbusexcel.rtd",,$A$17,$C$17,IF($E$4="n","D",$D$17),I42,$AI42,$D$3,$B$17)</f>
        <v>84</v>
      </c>
      <c r="AO42" s="26" t="str">
        <f>RTD("modbusexcel.rtd",,$A$17,$C$17,IF($E$4="n","D",$D$17),J42,$AI42,$D$3,$B$17)</f>
        <v>84</v>
      </c>
      <c r="AP42" s="26" t="str">
        <f>RTD("modbusexcel.rtd",,$A$17,$C$17,IF($E$4="n","D",$D$17),K42,$AI42,$D$3,$B$17)</f>
        <v>84</v>
      </c>
      <c r="AQ42" s="26" t="str">
        <f>RTD("modbusexcel.rtd",,$A$17,$C$17,IF($E$4="n","D",$D$17),L42,$AI42,$D$3,$B$17)</f>
        <v>84</v>
      </c>
      <c r="AR42" s="26" t="str">
        <f>RTD("modbusexcel.rtd",,$A$17,$C$17,IF($E$4="n","D",$D$17),M42,$AI42,$D$3,$B$17)</f>
        <v>84</v>
      </c>
      <c r="AS42" s="26" t="str">
        <f>RTD("modbusexcel.rtd",,$A$17,$C$17,IF($E$4="n","D",$D$17),N42,$AI42,$D$3,$B$17)</f>
        <v>60</v>
      </c>
      <c r="AT42" s="26" t="str">
        <f>RTD("modbusexcel.rtd",,$A$17,$C$17,IF($E$4="n","D",$D$17),O42,$AI42,$D$3,$B$17)</f>
        <v>84</v>
      </c>
      <c r="AU42" s="26" t="str">
        <f>RTD("modbusexcel.rtd",,$A$17,$C$17,IF($E$4="n","D",$D$17),P42,$AI42,$D$3,$B$17)</f>
        <v>87</v>
      </c>
      <c r="AV42" s="26" t="str">
        <f>RTD("modbusexcel.rtd",,$A$17,$C$17,IF($E$4="n","D",$D$17),Q42,$AI42,$D$3,$B$17)</f>
        <v>87</v>
      </c>
      <c r="AW42" s="26" t="str">
        <f>RTD("modbusexcel.rtd",,$A$17,$C$17,IF($E$4="n","D",$D$17),R42,$AI42,$D$3,$B$17)</f>
        <v>84</v>
      </c>
      <c r="AX42" s="26" t="str">
        <f>RTD("modbusexcel.rtd",,$A$17,$C$17,IF($E$4="n","D",$D$17),S42,$AI42,$D$3,$B$17)</f>
        <v>84</v>
      </c>
      <c r="AY42" s="26" t="str">
        <f>RTD("modbusexcel.rtd",,$A$17,$C$17,IF($E$4="n","D",$D$17),T42,$AI42,$D$3,$B$17)</f>
        <v>84</v>
      </c>
      <c r="AZ42" s="26" t="str">
        <f>RTD("modbusexcel.rtd",,$A$17,$C$17,IF($E$4="n","D",$D$17),U42,$AI42,$D$3,$B$17)</f>
        <v>84</v>
      </c>
      <c r="BA42" s="26" t="str">
        <f>RTD("modbusexcel.rtd",,$A$17,$C$17,IF($E$4="n","D",$D$17),V42,$AI42,$D$3,$B$17)</f>
        <v>84</v>
      </c>
      <c r="BB42" s="26" t="str">
        <f>RTD("modbusexcel.rtd",,$A$17,$C$17,IF($E$4="n","D",$D$17),W42,$AI42,$D$3,$B$17)</f>
        <v>84</v>
      </c>
      <c r="BC42" s="26" t="str">
        <f>RTD("modbusexcel.rtd",,$A$17,$C$17,IF($E$4="n","D",$D$17),X42,$AI42,$D$3,$B$17)</f>
        <v>84</v>
      </c>
      <c r="BD42" s="26" t="str">
        <f>RTD("modbusexcel.rtd",,$A$17,$C$17,IF($E$4="n","D",$D$17),Y42,$AI42,$D$3,$B$17)</f>
        <v>84</v>
      </c>
      <c r="BE42" s="26" t="str">
        <f>RTD("modbusexcel.rtd",,$A$17,$C$17,IF($E$4="n","D",$D$17),Z42,$AI42,$D$3,$B$17)</f>
        <v>60</v>
      </c>
      <c r="BF42" s="26" t="str">
        <f>RTD("modbusexcel.rtd",,$A$17,$C$17,IF($E$4="n","D",$D$17),AA42,$AI42,$D$3,$B$17)</f>
        <v>84</v>
      </c>
      <c r="BG42" s="26" t="str">
        <f>RTD("modbusexcel.rtd",,$A$17,$C$17,IF($E$4="n","D",$D$17),AB42,$AI42,$D$3,$B$17)</f>
        <v>84</v>
      </c>
      <c r="BH42" s="26" t="str">
        <f>RTD("modbusexcel.rtd",,$A$17,$C$17,IF($E$4="n","D",$D$17),AC42,$AI42,$D$3,$B$17)</f>
        <v>87</v>
      </c>
      <c r="BI42" s="26" t="str">
        <f>RTD("modbusexcel.rtd",,$A$17,$C$17,IF($E$4="n","D",$D$17),AD42,$AI42,$D$3,$B$17)</f>
        <v>60</v>
      </c>
      <c r="BJ42" s="26" t="str">
        <f>RTD("modbusexcel.rtd",,$A$17,$C$17,IF($E$4="n","D",$D$17),AE42,$AI42,$D$3,$B$17)</f>
        <v>84</v>
      </c>
      <c r="BK42" s="26" t="str">
        <f>RTD("modbusexcel.rtd",,$A$17,$C$17,IF($E$4="n","D",$D$17),AF42,$AI42,$D$3,$B$17)</f>
        <v>87</v>
      </c>
      <c r="BL42" s="26" t="str">
        <f>RTD("modbusexcel.rtd",,$A$17,$C$17,IF($E$4="n","D",$D$17),AG42,$AI42,$D$3,$B$17)</f>
        <v>87</v>
      </c>
      <c r="BM42" s="26" t="str">
        <f>RTD("modbusexcel.rtd",,$A$17,$C$17,IF($E$4="n","D",$D$17),AH42,$AI42,$D$3,$B$17)</f>
        <v>84</v>
      </c>
    </row>
    <row r="43" spans="1:65" s="24" customFormat="1" ht="12" x14ac:dyDescent="0.2">
      <c r="E43" s="37">
        <f t="shared" si="29"/>
        <v>40027</v>
      </c>
      <c r="F43" s="34">
        <f t="shared" si="30"/>
        <v>40059</v>
      </c>
      <c r="G43" s="34">
        <f t="shared" si="1"/>
        <v>40091</v>
      </c>
      <c r="H43" s="34">
        <f t="shared" si="2"/>
        <v>40123</v>
      </c>
      <c r="I43" s="34">
        <f t="shared" si="3"/>
        <v>40155</v>
      </c>
      <c r="J43" s="34">
        <f t="shared" si="4"/>
        <v>40187</v>
      </c>
      <c r="K43" s="34">
        <f t="shared" si="5"/>
        <v>40219</v>
      </c>
      <c r="L43" s="34">
        <f t="shared" si="6"/>
        <v>40251</v>
      </c>
      <c r="M43" s="34">
        <f t="shared" si="7"/>
        <v>40283</v>
      </c>
      <c r="N43" s="34">
        <f t="shared" si="8"/>
        <v>40315</v>
      </c>
      <c r="O43" s="34">
        <f t="shared" si="9"/>
        <v>40347</v>
      </c>
      <c r="P43" s="34">
        <f t="shared" si="10"/>
        <v>40379</v>
      </c>
      <c r="Q43" s="34">
        <f t="shared" si="11"/>
        <v>40411</v>
      </c>
      <c r="R43" s="34">
        <f t="shared" si="12"/>
        <v>40443</v>
      </c>
      <c r="S43" s="34">
        <f t="shared" si="13"/>
        <v>40475</v>
      </c>
      <c r="T43" s="34">
        <f t="shared" si="14"/>
        <v>40507</v>
      </c>
      <c r="U43" s="34">
        <f t="shared" si="15"/>
        <v>40539</v>
      </c>
      <c r="V43" s="34">
        <f t="shared" si="16"/>
        <v>40571</v>
      </c>
      <c r="W43" s="34">
        <f t="shared" si="17"/>
        <v>40603</v>
      </c>
      <c r="X43" s="34">
        <f t="shared" si="18"/>
        <v>40635</v>
      </c>
      <c r="Y43" s="34">
        <f t="shared" si="19"/>
        <v>40667</v>
      </c>
      <c r="Z43" s="34">
        <f t="shared" si="20"/>
        <v>40699</v>
      </c>
      <c r="AA43" s="34">
        <f t="shared" si="21"/>
        <v>40731</v>
      </c>
      <c r="AB43" s="34">
        <f t="shared" si="22"/>
        <v>40763</v>
      </c>
      <c r="AC43" s="34">
        <f t="shared" si="23"/>
        <v>40795</v>
      </c>
      <c r="AD43" s="34">
        <f t="shared" si="24"/>
        <v>40827</v>
      </c>
      <c r="AE43" s="34">
        <f t="shared" si="25"/>
        <v>40859</v>
      </c>
      <c r="AF43" s="34">
        <f t="shared" si="26"/>
        <v>40891</v>
      </c>
      <c r="AG43" s="34">
        <f t="shared" si="27"/>
        <v>40923</v>
      </c>
      <c r="AH43" s="34">
        <f t="shared" si="28"/>
        <v>40955</v>
      </c>
      <c r="AI43" s="35">
        <v>1</v>
      </c>
      <c r="AJ43" s="26" t="str">
        <f>RTD("modbusexcel.rtd",,$A$17,$C$17,IF($E$4="n","D",$D$17),E43,$AI43,$D$3,$B$17)</f>
        <v>60</v>
      </c>
      <c r="AK43" s="26" t="str">
        <f>RTD("modbusexcel.rtd",,$A$17,$C$17,IF($E$4="n","D",$D$17),F43,$AI43,$D$3,$B$17)</f>
        <v>84</v>
      </c>
      <c r="AL43" s="26" t="str">
        <f>RTD("modbusexcel.rtd",,$A$17,$C$17,IF($E$4="n","D",$D$17),G43,$AI43,$D$3,$B$17)</f>
        <v>87</v>
      </c>
      <c r="AM43" s="26" t="str">
        <f>RTD("modbusexcel.rtd",,$A$17,$C$17,IF($E$4="n","D",$D$17),H43,$AI43,$D$3,$B$17)</f>
        <v>87</v>
      </c>
      <c r="AN43" s="26" t="str">
        <f>RTD("modbusexcel.rtd",,$A$17,$C$17,IF($E$4="n","D",$D$17),I43,$AI43,$D$3,$B$17)</f>
        <v>84</v>
      </c>
      <c r="AO43" s="26" t="str">
        <f>RTD("modbusexcel.rtd",,$A$17,$C$17,IF($E$4="n","D",$D$17),J43,$AI43,$D$3,$B$17)</f>
        <v>84</v>
      </c>
      <c r="AP43" s="26" t="str">
        <f>RTD("modbusexcel.rtd",,$A$17,$C$17,IF($E$4="n","D",$D$17),K43,$AI43,$D$3,$B$17)</f>
        <v>84</v>
      </c>
      <c r="AQ43" s="26" t="str">
        <f>RTD("modbusexcel.rtd",,$A$17,$C$17,IF($E$4="n","D",$D$17),L43,$AI43,$D$3,$B$17)</f>
        <v>84</v>
      </c>
      <c r="AR43" s="26" t="str">
        <f>RTD("modbusexcel.rtd",,$A$17,$C$17,IF($E$4="n","D",$D$17),M43,$AI43,$D$3,$B$17)</f>
        <v>84</v>
      </c>
      <c r="AS43" s="26" t="str">
        <f>RTD("modbusexcel.rtd",,$A$17,$C$17,IF($E$4="n","D",$D$17),N43,$AI43,$D$3,$B$17)</f>
        <v>60</v>
      </c>
      <c r="AT43" s="26" t="str">
        <f>RTD("modbusexcel.rtd",,$A$17,$C$17,IF($E$4="n","D",$D$17),O43,$AI43,$D$3,$B$17)</f>
        <v>84</v>
      </c>
      <c r="AU43" s="26" t="str">
        <f>RTD("modbusexcel.rtd",,$A$17,$C$17,IF($E$4="n","D",$D$17),P43,$AI43,$D$3,$B$17)</f>
        <v>87</v>
      </c>
      <c r="AV43" s="26" t="str">
        <f>RTD("modbusexcel.rtd",,$A$17,$C$17,IF($E$4="n","D",$D$17),Q43,$AI43,$D$3,$B$17)</f>
        <v>87</v>
      </c>
      <c r="AW43" s="26" t="str">
        <f>RTD("modbusexcel.rtd",,$A$17,$C$17,IF($E$4="n","D",$D$17),R43,$AI43,$D$3,$B$17)</f>
        <v>60</v>
      </c>
      <c r="AX43" s="26" t="str">
        <f>RTD("modbusexcel.rtd",,$A$17,$C$17,IF($E$4="n","D",$D$17),S43,$AI43,$D$3,$B$17)</f>
        <v>84</v>
      </c>
      <c r="AY43" s="26" t="str">
        <f>RTD("modbusexcel.rtd",,$A$17,$C$17,IF($E$4="n","D",$D$17),T43,$AI43,$D$3,$B$17)</f>
        <v>84</v>
      </c>
      <c r="AZ43" s="26" t="str">
        <f>RTD("modbusexcel.rtd",,$A$17,$C$17,IF($E$4="n","D",$D$17),U43,$AI43,$D$3,$B$17)</f>
        <v>84</v>
      </c>
      <c r="BA43" s="26" t="str">
        <f>RTD("modbusexcel.rtd",,$A$17,$C$17,IF($E$4="n","D",$D$17),V43,$AI43,$D$3,$B$17)</f>
        <v>84</v>
      </c>
      <c r="BB43" s="26" t="str">
        <f>RTD("modbusexcel.rtd",,$A$17,$C$17,IF($E$4="n","D",$D$17),W43,$AI43,$D$3,$B$17)</f>
        <v>84</v>
      </c>
      <c r="BC43" s="26" t="str">
        <f>RTD("modbusexcel.rtd",,$A$17,$C$17,IF($E$4="n","D",$D$17),X43,$AI43,$D$3,$B$17)</f>
        <v>84</v>
      </c>
      <c r="BD43" s="26" t="str">
        <f>RTD("modbusexcel.rtd",,$A$17,$C$17,IF($E$4="n","D",$D$17),Y43,$AI43,$D$3,$B$17)</f>
        <v>84</v>
      </c>
      <c r="BE43" s="26" t="str">
        <f>RTD("modbusexcel.rtd",,$A$17,$C$17,IF($E$4="n","D",$D$17),Z43,$AI43,$D$3,$B$17)</f>
        <v>60</v>
      </c>
      <c r="BF43" s="26" t="str">
        <f>RTD("modbusexcel.rtd",,$A$17,$C$17,IF($E$4="n","D",$D$17),AA43,$AI43,$D$3,$B$17)</f>
        <v>84</v>
      </c>
      <c r="BG43" s="26" t="str">
        <f>RTD("modbusexcel.rtd",,$A$17,$C$17,IF($E$4="n","D",$D$17),AB43,$AI43,$D$3,$B$17)</f>
        <v>84</v>
      </c>
      <c r="BH43" s="26" t="str">
        <f>RTD("modbusexcel.rtd",,$A$17,$C$17,IF($E$4="n","D",$D$17),AC43,$AI43,$D$3,$B$17)</f>
        <v>87</v>
      </c>
      <c r="BI43" s="26" t="str">
        <f>RTD("modbusexcel.rtd",,$A$17,$C$17,IF($E$4="n","D",$D$17),AD43,$AI43,$D$3,$B$17)</f>
        <v>60</v>
      </c>
      <c r="BJ43" s="26" t="str">
        <f>RTD("modbusexcel.rtd",,$A$17,$C$17,IF($E$4="n","D",$D$17),AE43,$AI43,$D$3,$B$17)</f>
        <v>84</v>
      </c>
      <c r="BK43" s="26" t="str">
        <f>RTD("modbusexcel.rtd",,$A$17,$C$17,IF($E$4="n","D",$D$17),AF43,$AI43,$D$3,$B$17)</f>
        <v>87</v>
      </c>
      <c r="BL43" s="26" t="str">
        <f>RTD("modbusexcel.rtd",,$A$17,$C$17,IF($E$4="n","D",$D$17),AG43,$AI43,$D$3,$B$17)</f>
        <v>87</v>
      </c>
      <c r="BM43" s="26" t="str">
        <f>RTD("modbusexcel.rtd",,$A$17,$C$17,IF($E$4="n","D",$D$17),AH43,$AI43,$D$3,$B$17)</f>
        <v>84</v>
      </c>
    </row>
    <row r="44" spans="1:65" s="24" customFormat="1" ht="12" x14ac:dyDescent="0.2">
      <c r="E44" s="37">
        <f t="shared" si="29"/>
        <v>40028</v>
      </c>
      <c r="F44" s="34">
        <f t="shared" si="30"/>
        <v>40060</v>
      </c>
      <c r="G44" s="34">
        <f t="shared" si="1"/>
        <v>40092</v>
      </c>
      <c r="H44" s="34">
        <f t="shared" si="2"/>
        <v>40124</v>
      </c>
      <c r="I44" s="34">
        <f t="shared" si="3"/>
        <v>40156</v>
      </c>
      <c r="J44" s="34">
        <f t="shared" si="4"/>
        <v>40188</v>
      </c>
      <c r="K44" s="34">
        <f t="shared" si="5"/>
        <v>40220</v>
      </c>
      <c r="L44" s="34">
        <f t="shared" si="6"/>
        <v>40252</v>
      </c>
      <c r="M44" s="34">
        <f t="shared" si="7"/>
        <v>40284</v>
      </c>
      <c r="N44" s="34">
        <f t="shared" si="8"/>
        <v>40316</v>
      </c>
      <c r="O44" s="34">
        <f t="shared" si="9"/>
        <v>40348</v>
      </c>
      <c r="P44" s="34">
        <f t="shared" si="10"/>
        <v>40380</v>
      </c>
      <c r="Q44" s="34">
        <f t="shared" si="11"/>
        <v>40412</v>
      </c>
      <c r="R44" s="34">
        <f t="shared" si="12"/>
        <v>40444</v>
      </c>
      <c r="S44" s="34">
        <f t="shared" si="13"/>
        <v>40476</v>
      </c>
      <c r="T44" s="34">
        <f t="shared" si="14"/>
        <v>40508</v>
      </c>
      <c r="U44" s="34">
        <f t="shared" si="15"/>
        <v>40540</v>
      </c>
      <c r="V44" s="34">
        <f t="shared" si="16"/>
        <v>40572</v>
      </c>
      <c r="W44" s="34">
        <f t="shared" si="17"/>
        <v>40604</v>
      </c>
      <c r="X44" s="34">
        <f t="shared" si="18"/>
        <v>40636</v>
      </c>
      <c r="Y44" s="34">
        <f t="shared" si="19"/>
        <v>40668</v>
      </c>
      <c r="Z44" s="34">
        <f t="shared" si="20"/>
        <v>40700</v>
      </c>
      <c r="AA44" s="34">
        <f t="shared" si="21"/>
        <v>40732</v>
      </c>
      <c r="AB44" s="34">
        <f t="shared" si="22"/>
        <v>40764</v>
      </c>
      <c r="AC44" s="34">
        <f t="shared" si="23"/>
        <v>40796</v>
      </c>
      <c r="AD44" s="34">
        <f t="shared" si="24"/>
        <v>40828</v>
      </c>
      <c r="AE44" s="34">
        <f t="shared" si="25"/>
        <v>40860</v>
      </c>
      <c r="AF44" s="34">
        <f t="shared" si="26"/>
        <v>40892</v>
      </c>
      <c r="AG44" s="34">
        <f t="shared" si="27"/>
        <v>40924</v>
      </c>
      <c r="AH44" s="34">
        <f t="shared" si="28"/>
        <v>40956</v>
      </c>
      <c r="AI44" s="35">
        <v>1</v>
      </c>
      <c r="AJ44" s="26" t="str">
        <f>RTD("modbusexcel.rtd",,$A$17,$C$17,IF($E$4="n","D",$D$17),E44,$AI44,$D$3,$B$17)</f>
        <v>75</v>
      </c>
      <c r="AK44" s="26" t="str">
        <f>RTD("modbusexcel.rtd",,$A$17,$C$17,IF($E$4="n","D",$D$17),F44,$AI44,$D$3,$B$17)</f>
        <v>84</v>
      </c>
      <c r="AL44" s="26" t="str">
        <f>RTD("modbusexcel.rtd",,$A$17,$C$17,IF($E$4="n","D",$D$17),G44,$AI44,$D$3,$B$17)</f>
        <v>87</v>
      </c>
      <c r="AM44" s="26" t="str">
        <f>RTD("modbusexcel.rtd",,$A$17,$C$17,IF($E$4="n","D",$D$17),H44,$AI44,$D$3,$B$17)</f>
        <v>87</v>
      </c>
      <c r="AN44" s="26" t="str">
        <f>RTD("modbusexcel.rtd",,$A$17,$C$17,IF($E$4="n","D",$D$17),I44,$AI44,$D$3,$B$17)</f>
        <v>84</v>
      </c>
      <c r="AO44" s="26" t="str">
        <f>RTD("modbusexcel.rtd",,$A$17,$C$17,IF($E$4="n","D",$D$17),J44,$AI44,$D$3,$B$17)</f>
        <v>84</v>
      </c>
      <c r="AP44" s="26" t="str">
        <f>RTD("modbusexcel.rtd",,$A$17,$C$17,IF($E$4="n","D",$D$17),K44,$AI44,$D$3,$B$17)</f>
        <v>87</v>
      </c>
      <c r="AQ44" s="26" t="str">
        <f>RTD("modbusexcel.rtd",,$A$17,$C$17,IF($E$4="n","D",$D$17),L44,$AI44,$D$3,$B$17)</f>
        <v>84</v>
      </c>
      <c r="AR44" s="26" t="str">
        <f>RTD("modbusexcel.rtd",,$A$17,$C$17,IF($E$4="n","D",$D$17),M44,$AI44,$D$3,$B$17)</f>
        <v>84</v>
      </c>
      <c r="AS44" s="26" t="str">
        <f>RTD("modbusexcel.rtd",,$A$17,$C$17,IF($E$4="n","D",$D$17),N44,$AI44,$D$3,$B$17)</f>
        <v>84</v>
      </c>
      <c r="AT44" s="26" t="str">
        <f>RTD("modbusexcel.rtd",,$A$17,$C$17,IF($E$4="n","D",$D$17),O44,$AI44,$D$3,$B$17)</f>
        <v>84</v>
      </c>
      <c r="AU44" s="26" t="str">
        <f>RTD("modbusexcel.rtd",,$A$17,$C$17,IF($E$4="n","D",$D$17),P44,$AI44,$D$3,$B$17)</f>
        <v>84</v>
      </c>
      <c r="AV44" s="26" t="str">
        <f>RTD("modbusexcel.rtd",,$A$17,$C$17,IF($E$4="n","D",$D$17),Q44,$AI44,$D$3,$B$17)</f>
        <v>60</v>
      </c>
      <c r="AW44" s="26" t="str">
        <f>RTD("modbusexcel.rtd",,$A$17,$C$17,IF($E$4="n","D",$D$17),R44,$AI44,$D$3,$B$17)</f>
        <v>84</v>
      </c>
      <c r="AX44" s="26" t="str">
        <f>RTD("modbusexcel.rtd",,$A$17,$C$17,IF($E$4="n","D",$D$17),S44,$AI44,$D$3,$B$17)</f>
        <v>87</v>
      </c>
      <c r="AY44" s="26" t="str">
        <f>RTD("modbusexcel.rtd",,$A$17,$C$17,IF($E$4="n","D",$D$17),T44,$AI44,$D$3,$B$17)</f>
        <v>87</v>
      </c>
      <c r="AZ44" s="26" t="str">
        <f>RTD("modbusexcel.rtd",,$A$17,$C$17,IF($E$4="n","D",$D$17),U44,$AI44,$D$3,$B$17)</f>
        <v>60</v>
      </c>
      <c r="BA44" s="26" t="str">
        <f>RTD("modbusexcel.rtd",,$A$17,$C$17,IF($E$4="n","D",$D$17),V44,$AI44,$D$3,$B$17)</f>
        <v>84</v>
      </c>
      <c r="BB44" s="26" t="str">
        <f>RTD("modbusexcel.rtd",,$A$17,$C$17,IF($E$4="n","D",$D$17),W44,$AI44,$D$3,$B$17)</f>
        <v>84</v>
      </c>
      <c r="BC44" s="26" t="str">
        <f>RTD("modbusexcel.rtd",,$A$17,$C$17,IF($E$4="n","D",$D$17),X44,$AI44,$D$3,$B$17)</f>
        <v>84</v>
      </c>
      <c r="BD44" s="26" t="str">
        <f>RTD("modbusexcel.rtd",,$A$17,$C$17,IF($E$4="n","D",$D$17),Y44,$AI44,$D$3,$B$17)</f>
        <v>84</v>
      </c>
      <c r="BE44" s="26" t="str">
        <f>RTD("modbusexcel.rtd",,$A$17,$C$17,IF($E$4="n","D",$D$17),Z44,$AI44,$D$3,$B$17)</f>
        <v>84</v>
      </c>
      <c r="BF44" s="26" t="str">
        <f>RTD("modbusexcel.rtd",,$A$17,$C$17,IF($E$4="n","D",$D$17),AA44,$AI44,$D$3,$B$17)</f>
        <v>84</v>
      </c>
      <c r="BG44" s="26" t="str">
        <f>RTD("modbusexcel.rtd",,$A$17,$C$17,IF($E$4="n","D",$D$17),AB44,$AI44,$D$3,$B$17)</f>
        <v>84</v>
      </c>
      <c r="BH44" s="26" t="str">
        <f>RTD("modbusexcel.rtd",,$A$17,$C$17,IF($E$4="n","D",$D$17),AC44,$AI44,$D$3,$B$17)</f>
        <v>60</v>
      </c>
      <c r="BI44" s="26" t="str">
        <f>RTD("modbusexcel.rtd",,$A$17,$C$17,IF($E$4="n","D",$D$17),AD44,$AI44,$D$3,$B$17)</f>
        <v>60</v>
      </c>
      <c r="BJ44" s="26" t="str">
        <f>RTD("modbusexcel.rtd",,$A$17,$C$17,IF($E$4="n","D",$D$17),AE44,$AI44,$D$3,$B$17)</f>
        <v>84</v>
      </c>
      <c r="BK44" s="26" t="str">
        <f>RTD("modbusexcel.rtd",,$A$17,$C$17,IF($E$4="n","D",$D$17),AF44,$AI44,$D$3,$B$17)</f>
        <v>87</v>
      </c>
      <c r="BL44" s="26" t="str">
        <f>RTD("modbusexcel.rtd",,$A$17,$C$17,IF($E$4="n","D",$D$17),AG44,$AI44,$D$3,$B$17)</f>
        <v>87</v>
      </c>
      <c r="BM44" s="26" t="str">
        <f>RTD("modbusexcel.rtd",,$A$17,$C$17,IF($E$4="n","D",$D$17),AH44,$AI44,$D$3,$B$17)</f>
        <v>84</v>
      </c>
    </row>
    <row r="45" spans="1:65" s="24" customFormat="1" ht="12" x14ac:dyDescent="0.2">
      <c r="E45" s="37">
        <f t="shared" si="29"/>
        <v>40029</v>
      </c>
      <c r="F45" s="34">
        <f t="shared" si="30"/>
        <v>40061</v>
      </c>
      <c r="G45" s="34">
        <f t="shared" si="1"/>
        <v>40093</v>
      </c>
      <c r="H45" s="34">
        <f t="shared" si="2"/>
        <v>40125</v>
      </c>
      <c r="I45" s="34">
        <f t="shared" si="3"/>
        <v>40157</v>
      </c>
      <c r="J45" s="34">
        <f t="shared" si="4"/>
        <v>40189</v>
      </c>
      <c r="K45" s="34">
        <f t="shared" si="5"/>
        <v>40221</v>
      </c>
      <c r="L45" s="34">
        <f t="shared" si="6"/>
        <v>40253</v>
      </c>
      <c r="M45" s="34">
        <f t="shared" si="7"/>
        <v>40285</v>
      </c>
      <c r="N45" s="34">
        <f t="shared" si="8"/>
        <v>40317</v>
      </c>
      <c r="O45" s="34">
        <f t="shared" si="9"/>
        <v>40349</v>
      </c>
      <c r="P45" s="34">
        <f t="shared" si="10"/>
        <v>40381</v>
      </c>
      <c r="Q45" s="34">
        <f t="shared" si="11"/>
        <v>40413</v>
      </c>
      <c r="R45" s="34">
        <f t="shared" si="12"/>
        <v>40445</v>
      </c>
      <c r="S45" s="34">
        <f t="shared" si="13"/>
        <v>40477</v>
      </c>
      <c r="T45" s="34">
        <f t="shared" si="14"/>
        <v>40509</v>
      </c>
      <c r="U45" s="34">
        <f t="shared" si="15"/>
        <v>40541</v>
      </c>
      <c r="V45" s="34">
        <f t="shared" si="16"/>
        <v>40573</v>
      </c>
      <c r="W45" s="34">
        <f t="shared" si="17"/>
        <v>40605</v>
      </c>
      <c r="X45" s="34">
        <f t="shared" si="18"/>
        <v>40637</v>
      </c>
      <c r="Y45" s="34">
        <f t="shared" si="19"/>
        <v>40669</v>
      </c>
      <c r="Z45" s="34">
        <f t="shared" si="20"/>
        <v>40701</v>
      </c>
      <c r="AA45" s="34">
        <f t="shared" si="21"/>
        <v>40733</v>
      </c>
      <c r="AB45" s="34">
        <f t="shared" si="22"/>
        <v>40765</v>
      </c>
      <c r="AC45" s="34">
        <f t="shared" si="23"/>
        <v>40797</v>
      </c>
      <c r="AD45" s="34">
        <f t="shared" si="24"/>
        <v>40829</v>
      </c>
      <c r="AE45" s="34">
        <f t="shared" si="25"/>
        <v>40861</v>
      </c>
      <c r="AF45" s="34">
        <f t="shared" si="26"/>
        <v>40893</v>
      </c>
      <c r="AG45" s="34">
        <f t="shared" si="27"/>
        <v>40925</v>
      </c>
      <c r="AH45" s="34">
        <f t="shared" si="28"/>
        <v>40957</v>
      </c>
      <c r="AI45" s="35">
        <v>1</v>
      </c>
      <c r="AJ45" s="26" t="str">
        <f>RTD("modbusexcel.rtd",,$A$17,$C$17,IF($E$4="n","D",$D$17),E45,$AI45,$D$3,$B$17)</f>
        <v>60</v>
      </c>
      <c r="AK45" s="26" t="str">
        <f>RTD("modbusexcel.rtd",,$A$17,$C$17,IF($E$4="n","D",$D$17),F45,$AI45,$D$3,$B$17)</f>
        <v>84</v>
      </c>
      <c r="AL45" s="26" t="str">
        <f>RTD("modbusexcel.rtd",,$A$17,$C$17,IF($E$4="n","D",$D$17),G45,$AI45,$D$3,$B$17)</f>
        <v>87</v>
      </c>
      <c r="AM45" s="26" t="str">
        <f>RTD("modbusexcel.rtd",,$A$17,$C$17,IF($E$4="n","D",$D$17),H45,$AI45,$D$3,$B$17)</f>
        <v>87</v>
      </c>
      <c r="AN45" s="26" t="str">
        <f>RTD("modbusexcel.rtd",,$A$17,$C$17,IF($E$4="n","D",$D$17),I45,$AI45,$D$3,$B$17)</f>
        <v>84</v>
      </c>
      <c r="AO45" s="26" t="str">
        <f>RTD("modbusexcel.rtd",,$A$17,$C$17,IF($E$4="n","D",$D$17),J45,$AI45,$D$3,$B$17)</f>
        <v>84</v>
      </c>
      <c r="AP45" s="26" t="str">
        <f>RTD("modbusexcel.rtd",,$A$17,$C$17,IF($E$4="n","D",$D$17),K45,$AI45,$D$3,$B$17)</f>
        <v>87</v>
      </c>
      <c r="AQ45" s="26" t="str">
        <f>RTD("modbusexcel.rtd",,$A$17,$C$17,IF($E$4="n","D",$D$17),L45,$AI45,$D$3,$B$17)</f>
        <v>84</v>
      </c>
      <c r="AR45" s="26" t="str">
        <f>RTD("modbusexcel.rtd",,$A$17,$C$17,IF($E$4="n","D",$D$17),M45,$AI45,$D$3,$B$17)</f>
        <v>84</v>
      </c>
      <c r="AS45" s="26" t="str">
        <f>RTD("modbusexcel.rtd",,$A$17,$C$17,IF($E$4="n","D",$D$17),N45,$AI45,$D$3,$B$17)</f>
        <v>84</v>
      </c>
      <c r="AT45" s="26" t="str">
        <f>RTD("modbusexcel.rtd",,$A$17,$C$17,IF($E$4="n","D",$D$17),O45,$AI45,$D$3,$B$17)</f>
        <v>84</v>
      </c>
      <c r="AU45" s="26" t="str">
        <f>RTD("modbusexcel.rtd",,$A$17,$C$17,IF($E$4="n","D",$D$17),P45,$AI45,$D$3,$B$17)</f>
        <v>84</v>
      </c>
      <c r="AV45" s="26" t="str">
        <f>RTD("modbusexcel.rtd",,$A$17,$C$17,IF($E$4="n","D",$D$17),Q45,$AI45,$D$3,$B$17)</f>
        <v>87</v>
      </c>
      <c r="AW45" s="26" t="str">
        <f>RTD("modbusexcel.rtd",,$A$17,$C$17,IF($E$4="n","D",$D$17),R45,$AI45,$D$3,$B$17)</f>
        <v>84</v>
      </c>
      <c r="AX45" s="26" t="str">
        <f>RTD("modbusexcel.rtd",,$A$17,$C$17,IF($E$4="n","D",$D$17),S45,$AI45,$D$3,$B$17)</f>
        <v>87</v>
      </c>
      <c r="AY45" s="26" t="str">
        <f>RTD("modbusexcel.rtd",,$A$17,$C$17,IF($E$4="n","D",$D$17),T45,$AI45,$D$3,$B$17)</f>
        <v>87</v>
      </c>
      <c r="AZ45" s="26" t="str">
        <f>RTD("modbusexcel.rtd",,$A$17,$C$17,IF($E$4="n","D",$D$17),U45,$AI45,$D$3,$B$17)</f>
        <v>60</v>
      </c>
      <c r="BA45" s="26" t="str">
        <f>RTD("modbusexcel.rtd",,$A$17,$C$17,IF($E$4="n","D",$D$17),V45,$AI45,$D$3,$B$17)</f>
        <v>84</v>
      </c>
      <c r="BB45" s="26" t="str">
        <f>RTD("modbusexcel.rtd",,$A$17,$C$17,IF($E$4="n","D",$D$17),W45,$AI45,$D$3,$B$17)</f>
        <v>84</v>
      </c>
      <c r="BC45" s="26" t="str">
        <f>RTD("modbusexcel.rtd",,$A$17,$C$17,IF($E$4="n","D",$D$17),X45,$AI45,$D$3,$B$17)</f>
        <v>84</v>
      </c>
      <c r="BD45" s="26" t="str">
        <f>RTD("modbusexcel.rtd",,$A$17,$C$17,IF($E$4="n","D",$D$17),Y45,$AI45,$D$3,$B$17)</f>
        <v>84</v>
      </c>
      <c r="BE45" s="26" t="str">
        <f>RTD("modbusexcel.rtd",,$A$17,$C$17,IF($E$4="n","D",$D$17),Z45,$AI45,$D$3,$B$17)</f>
        <v>84</v>
      </c>
      <c r="BF45" s="26" t="str">
        <f>RTD("modbusexcel.rtd",,$A$17,$C$17,IF($E$4="n","D",$D$17),AA45,$AI45,$D$3,$B$17)</f>
        <v>84</v>
      </c>
      <c r="BG45" s="26" t="str">
        <f>RTD("modbusexcel.rtd",,$A$17,$C$17,IF($E$4="n","D",$D$17),AB45,$AI45,$D$3,$B$17)</f>
        <v>84</v>
      </c>
      <c r="BH45" s="26" t="str">
        <f>RTD("modbusexcel.rtd",,$A$17,$C$17,IF($E$4="n","D",$D$17),AC45,$AI45,$D$3,$B$17)</f>
        <v>60</v>
      </c>
      <c r="BI45" s="26" t="str">
        <f>RTD("modbusexcel.rtd",,$A$17,$C$17,IF($E$4="n","D",$D$17),AD45,$AI45,$D$3,$B$17)</f>
        <v>60</v>
      </c>
      <c r="BJ45" s="26" t="str">
        <f>RTD("modbusexcel.rtd",,$A$17,$C$17,IF($E$4="n","D",$D$17),AE45,$AI45,$D$3,$B$17)</f>
        <v>84</v>
      </c>
      <c r="BK45" s="26" t="str">
        <f>RTD("modbusexcel.rtd",,$A$17,$C$17,IF($E$4="n","D",$D$17),AF45,$AI45,$D$3,$B$17)</f>
        <v>87</v>
      </c>
      <c r="BL45" s="26" t="str">
        <f>RTD("modbusexcel.rtd",,$A$17,$C$17,IF($E$4="n","D",$D$17),AG45,$AI45,$D$3,$B$17)</f>
        <v>87</v>
      </c>
      <c r="BM45" s="26" t="str">
        <f>RTD("modbusexcel.rtd",,$A$17,$C$17,IF($E$4="n","D",$D$17),AH45,$AI45,$D$3,$B$17)</f>
        <v>84</v>
      </c>
    </row>
    <row r="46" spans="1:65" s="24" customFormat="1" ht="12" x14ac:dyDescent="0.2">
      <c r="E46" s="37">
        <f t="shared" si="29"/>
        <v>40030</v>
      </c>
      <c r="F46" s="34">
        <f t="shared" si="30"/>
        <v>40062</v>
      </c>
      <c r="G46" s="34">
        <f t="shared" si="1"/>
        <v>40094</v>
      </c>
      <c r="H46" s="34">
        <f t="shared" si="2"/>
        <v>40126</v>
      </c>
      <c r="I46" s="34">
        <f t="shared" si="3"/>
        <v>40158</v>
      </c>
      <c r="J46" s="34">
        <f t="shared" si="4"/>
        <v>40190</v>
      </c>
      <c r="K46" s="34">
        <f t="shared" si="5"/>
        <v>40222</v>
      </c>
      <c r="L46" s="34">
        <f t="shared" si="6"/>
        <v>40254</v>
      </c>
      <c r="M46" s="34">
        <f t="shared" si="7"/>
        <v>40286</v>
      </c>
      <c r="N46" s="34">
        <f t="shared" si="8"/>
        <v>40318</v>
      </c>
      <c r="O46" s="34">
        <f t="shared" si="9"/>
        <v>40350</v>
      </c>
      <c r="P46" s="34">
        <f t="shared" si="10"/>
        <v>40382</v>
      </c>
      <c r="Q46" s="34">
        <f t="shared" si="11"/>
        <v>40414</v>
      </c>
      <c r="R46" s="34">
        <f t="shared" si="12"/>
        <v>40446</v>
      </c>
      <c r="S46" s="34">
        <f t="shared" si="13"/>
        <v>40478</v>
      </c>
      <c r="T46" s="34">
        <f t="shared" si="14"/>
        <v>40510</v>
      </c>
      <c r="U46" s="34">
        <f t="shared" si="15"/>
        <v>40542</v>
      </c>
      <c r="V46" s="34">
        <f t="shared" si="16"/>
        <v>40574</v>
      </c>
      <c r="W46" s="34">
        <f t="shared" si="17"/>
        <v>40606</v>
      </c>
      <c r="X46" s="34">
        <f t="shared" si="18"/>
        <v>40638</v>
      </c>
      <c r="Y46" s="34">
        <f t="shared" si="19"/>
        <v>40670</v>
      </c>
      <c r="Z46" s="34">
        <f t="shared" si="20"/>
        <v>40702</v>
      </c>
      <c r="AA46" s="34">
        <f t="shared" si="21"/>
        <v>40734</v>
      </c>
      <c r="AB46" s="34">
        <f t="shared" si="22"/>
        <v>40766</v>
      </c>
      <c r="AC46" s="34">
        <f t="shared" si="23"/>
        <v>40798</v>
      </c>
      <c r="AD46" s="34">
        <f t="shared" si="24"/>
        <v>40830</v>
      </c>
      <c r="AE46" s="34">
        <f t="shared" si="25"/>
        <v>40862</v>
      </c>
      <c r="AF46" s="34">
        <f t="shared" si="26"/>
        <v>40894</v>
      </c>
      <c r="AG46" s="34">
        <f t="shared" si="27"/>
        <v>40926</v>
      </c>
      <c r="AH46" s="34">
        <f t="shared" si="28"/>
        <v>40958</v>
      </c>
      <c r="AI46" s="35">
        <v>1</v>
      </c>
      <c r="AJ46" s="26" t="str">
        <f>RTD("modbusexcel.rtd",,$A$17,$C$17,IF($E$4="n","D",$D$17),E46,$AI46,$D$3,$B$17)</f>
        <v>84</v>
      </c>
      <c r="AK46" s="26" t="str">
        <f>RTD("modbusexcel.rtd",,$A$17,$C$17,IF($E$4="n","D",$D$17),F46,$AI46,$D$3,$B$17)</f>
        <v>84</v>
      </c>
      <c r="AL46" s="26" t="str">
        <f>RTD("modbusexcel.rtd",,$A$17,$C$17,IF($E$4="n","D",$D$17),G46,$AI46,$D$3,$B$17)</f>
        <v>87</v>
      </c>
      <c r="AM46" s="26" t="str">
        <f>RTD("modbusexcel.rtd",,$A$17,$C$17,IF($E$4="n","D",$D$17),H46,$AI46,$D$3,$B$17)</f>
        <v>60</v>
      </c>
      <c r="AN46" s="26" t="str">
        <f>RTD("modbusexcel.rtd",,$A$17,$C$17,IF($E$4="n","D",$D$17),I46,$AI46,$D$3,$B$17)</f>
        <v>84</v>
      </c>
      <c r="AO46" s="26" t="str">
        <f>RTD("modbusexcel.rtd",,$A$17,$C$17,IF($E$4="n","D",$D$17),J46,$AI46,$D$3,$B$17)</f>
        <v>87</v>
      </c>
      <c r="AP46" s="26" t="str">
        <f>RTD("modbusexcel.rtd",,$A$17,$C$17,IF($E$4="n","D",$D$17),K46,$AI46,$D$3,$B$17)</f>
        <v>87</v>
      </c>
      <c r="AQ46" s="26" t="str">
        <f>RTD("modbusexcel.rtd",,$A$17,$C$17,IF($E$4="n","D",$D$17),L46,$AI46,$D$3,$B$17)</f>
        <v>84</v>
      </c>
      <c r="AR46" s="26" t="str">
        <f>RTD("modbusexcel.rtd",,$A$17,$C$17,IF($E$4="n","D",$D$17),M46,$AI46,$D$3,$B$17)</f>
        <v>84</v>
      </c>
      <c r="AS46" s="26" t="str">
        <f>RTD("modbusexcel.rtd",,$A$17,$C$17,IF($E$4="n","D",$D$17),N46,$AI46,$D$3,$B$17)</f>
        <v>84</v>
      </c>
      <c r="AT46" s="26" t="str">
        <f>RTD("modbusexcel.rtd",,$A$17,$C$17,IF($E$4="n","D",$D$17),O46,$AI46,$D$3,$B$17)</f>
        <v>84</v>
      </c>
      <c r="AU46" s="26" t="str">
        <f>RTD("modbusexcel.rtd",,$A$17,$C$17,IF($E$4="n","D",$D$17),P46,$AI46,$D$3,$B$17)</f>
        <v>84</v>
      </c>
      <c r="AV46" s="26" t="str">
        <f>RTD("modbusexcel.rtd",,$A$17,$C$17,IF($E$4="n","D",$D$17),Q46,$AI46,$D$3,$B$17)</f>
        <v>60</v>
      </c>
      <c r="AW46" s="26" t="str">
        <f>RTD("modbusexcel.rtd",,$A$17,$C$17,IF($E$4="n","D",$D$17),R46,$AI46,$D$3,$B$17)</f>
        <v>84</v>
      </c>
      <c r="AX46" s="26" t="str">
        <f>RTD("modbusexcel.rtd",,$A$17,$C$17,IF($E$4="n","D",$D$17),S46,$AI46,$D$3,$B$17)</f>
        <v>87</v>
      </c>
      <c r="AY46" s="26" t="str">
        <f>RTD("modbusexcel.rtd",,$A$17,$C$17,IF($E$4="n","D",$D$17),T46,$AI46,$D$3,$B$17)</f>
        <v>87</v>
      </c>
      <c r="AZ46" s="26" t="str">
        <f>RTD("modbusexcel.rtd",,$A$17,$C$17,IF($E$4="n","D",$D$17),U46,$AI46,$D$3,$B$17)</f>
        <v>84</v>
      </c>
      <c r="BA46" s="26" t="str">
        <f>RTD("modbusexcel.rtd",,$A$17,$C$17,IF($E$4="n","D",$D$17),V46,$AI46,$D$3,$B$17)</f>
        <v>84</v>
      </c>
      <c r="BB46" s="26" t="str">
        <f>RTD("modbusexcel.rtd",,$A$17,$C$17,IF($E$4="n","D",$D$17),W46,$AI46,$D$3,$B$17)</f>
        <v>84</v>
      </c>
      <c r="BC46" s="26" t="str">
        <f>RTD("modbusexcel.rtd",,$A$17,$C$17,IF($E$4="n","D",$D$17),X46,$AI46,$D$3,$B$17)</f>
        <v>84</v>
      </c>
      <c r="BD46" s="26" t="str">
        <f>RTD("modbusexcel.rtd",,$A$17,$C$17,IF($E$4="n","D",$D$17),Y46,$AI46,$D$3,$B$17)</f>
        <v>84</v>
      </c>
      <c r="BE46" s="26" t="str">
        <f>RTD("modbusexcel.rtd",,$A$17,$C$17,IF($E$4="n","D",$D$17),Z46,$AI46,$D$3,$B$17)</f>
        <v>84</v>
      </c>
      <c r="BF46" s="26" t="str">
        <f>RTD("modbusexcel.rtd",,$A$17,$C$17,IF($E$4="n","D",$D$17),AA46,$AI46,$D$3,$B$17)</f>
        <v>84</v>
      </c>
      <c r="BG46" s="26" t="str">
        <f>RTD("modbusexcel.rtd",,$A$17,$C$17,IF($E$4="n","D",$D$17),AB46,$AI46,$D$3,$B$17)</f>
        <v>84</v>
      </c>
      <c r="BH46" s="26" t="str">
        <f>RTD("modbusexcel.rtd",,$A$17,$C$17,IF($E$4="n","D",$D$17),AC46,$AI46,$D$3,$B$17)</f>
        <v>60</v>
      </c>
      <c r="BI46" s="26" t="str">
        <f>RTD("modbusexcel.rtd",,$A$17,$C$17,IF($E$4="n","D",$D$17),AD46,$AI46,$D$3,$B$17)</f>
        <v>84</v>
      </c>
      <c r="BJ46" s="26" t="str">
        <f>RTD("modbusexcel.rtd",,$A$17,$C$17,IF($E$4="n","D",$D$17),AE46,$AI46,$D$3,$B$17)</f>
        <v>84</v>
      </c>
      <c r="BK46" s="26" t="str">
        <f>RTD("modbusexcel.rtd",,$A$17,$C$17,IF($E$4="n","D",$D$17),AF46,$AI46,$D$3,$B$17)</f>
        <v>87</v>
      </c>
      <c r="BL46" s="26" t="str">
        <f>RTD("modbusexcel.rtd",,$A$17,$C$17,IF($E$4="n","D",$D$17),AG46,$AI46,$D$3,$B$17)</f>
        <v>60</v>
      </c>
      <c r="BM46" s="26" t="str">
        <f>RTD("modbusexcel.rtd",,$A$17,$C$17,IF($E$4="n","D",$D$17),AH46,$AI46,$D$3,$B$17)</f>
        <v>84</v>
      </c>
    </row>
    <row r="47" spans="1:65" s="24" customFormat="1" ht="12" x14ac:dyDescent="0.2">
      <c r="E47" s="37">
        <f t="shared" si="29"/>
        <v>40031</v>
      </c>
      <c r="F47" s="34">
        <f t="shared" si="30"/>
        <v>40063</v>
      </c>
      <c r="G47" s="34">
        <f t="shared" si="1"/>
        <v>40095</v>
      </c>
      <c r="H47" s="34">
        <f t="shared" si="2"/>
        <v>40127</v>
      </c>
      <c r="I47" s="34">
        <f t="shared" si="3"/>
        <v>40159</v>
      </c>
      <c r="J47" s="34">
        <f t="shared" si="4"/>
        <v>40191</v>
      </c>
      <c r="K47" s="34">
        <f t="shared" si="5"/>
        <v>40223</v>
      </c>
      <c r="L47" s="34">
        <f t="shared" si="6"/>
        <v>40255</v>
      </c>
      <c r="M47" s="34">
        <f t="shared" si="7"/>
        <v>40287</v>
      </c>
      <c r="N47" s="34">
        <f t="shared" si="8"/>
        <v>40319</v>
      </c>
      <c r="O47" s="34">
        <f t="shared" si="9"/>
        <v>40351</v>
      </c>
      <c r="P47" s="34">
        <f t="shared" si="10"/>
        <v>40383</v>
      </c>
      <c r="Q47" s="34">
        <f t="shared" si="11"/>
        <v>40415</v>
      </c>
      <c r="R47" s="34">
        <f t="shared" si="12"/>
        <v>40447</v>
      </c>
      <c r="S47" s="34">
        <f t="shared" si="13"/>
        <v>40479</v>
      </c>
      <c r="T47" s="34">
        <f t="shared" si="14"/>
        <v>40511</v>
      </c>
      <c r="U47" s="34">
        <f t="shared" si="15"/>
        <v>40543</v>
      </c>
      <c r="V47" s="34">
        <f t="shared" si="16"/>
        <v>40575</v>
      </c>
      <c r="W47" s="34">
        <f t="shared" si="17"/>
        <v>40607</v>
      </c>
      <c r="X47" s="34">
        <f t="shared" si="18"/>
        <v>40639</v>
      </c>
      <c r="Y47" s="34">
        <f t="shared" si="19"/>
        <v>40671</v>
      </c>
      <c r="Z47" s="34">
        <f t="shared" si="20"/>
        <v>40703</v>
      </c>
      <c r="AA47" s="34">
        <f t="shared" si="21"/>
        <v>40735</v>
      </c>
      <c r="AB47" s="34">
        <f t="shared" si="22"/>
        <v>40767</v>
      </c>
      <c r="AC47" s="34">
        <f t="shared" si="23"/>
        <v>40799</v>
      </c>
      <c r="AD47" s="34">
        <f t="shared" si="24"/>
        <v>40831</v>
      </c>
      <c r="AE47" s="34">
        <f t="shared" si="25"/>
        <v>40863</v>
      </c>
      <c r="AF47" s="34">
        <f t="shared" si="26"/>
        <v>40895</v>
      </c>
      <c r="AG47" s="34">
        <f t="shared" si="27"/>
        <v>40927</v>
      </c>
      <c r="AH47" s="34">
        <f t="shared" si="28"/>
        <v>40959</v>
      </c>
      <c r="AI47" s="35">
        <v>1</v>
      </c>
      <c r="AJ47" s="26" t="str">
        <f>RTD("modbusexcel.rtd",,$A$17,$C$17,IF($E$4="n","D",$D$17),E47,$AI47,$D$3,$B$17)</f>
        <v>84</v>
      </c>
      <c r="AK47" s="26" t="str">
        <f>RTD("modbusexcel.rtd",,$A$17,$C$17,IF($E$4="n","D",$D$17),F47,$AI47,$D$3,$B$17)</f>
        <v>84</v>
      </c>
      <c r="AL47" s="26" t="str">
        <f>RTD("modbusexcel.rtd",,$A$17,$C$17,IF($E$4="n","D",$D$17),G47,$AI47,$D$3,$B$17)</f>
        <v>87</v>
      </c>
      <c r="AM47" s="26" t="str">
        <f>RTD("modbusexcel.rtd",,$A$17,$C$17,IF($E$4="n","D",$D$17),H47,$AI47,$D$3,$B$17)</f>
        <v>60</v>
      </c>
      <c r="AN47" s="26" t="str">
        <f>RTD("modbusexcel.rtd",,$A$17,$C$17,IF($E$4="n","D",$D$17),I47,$AI47,$D$3,$B$17)</f>
        <v>84</v>
      </c>
      <c r="AO47" s="26" t="str">
        <f>RTD("modbusexcel.rtd",,$A$17,$C$17,IF($E$4="n","D",$D$17),J47,$AI47,$D$3,$B$17)</f>
        <v>87</v>
      </c>
      <c r="AP47" s="26" t="str">
        <f>RTD("modbusexcel.rtd",,$A$17,$C$17,IF($E$4="n","D",$D$17),K47,$AI47,$D$3,$B$17)</f>
        <v>87</v>
      </c>
      <c r="AQ47" s="26" t="str">
        <f>RTD("modbusexcel.rtd",,$A$17,$C$17,IF($E$4="n","D",$D$17),L47,$AI47,$D$3,$B$17)</f>
        <v>84</v>
      </c>
      <c r="AR47" s="26" t="str">
        <f>RTD("modbusexcel.rtd",,$A$17,$C$17,IF($E$4="n","D",$D$17),M47,$AI47,$D$3,$B$17)</f>
        <v>84</v>
      </c>
      <c r="AS47" s="26" t="str">
        <f>RTD("modbusexcel.rtd",,$A$17,$C$17,IF($E$4="n","D",$D$17),N47,$AI47,$D$3,$B$17)</f>
        <v>84</v>
      </c>
      <c r="AT47" s="26" t="str">
        <f>RTD("modbusexcel.rtd",,$A$17,$C$17,IF($E$4="n","D",$D$17),O47,$AI47,$D$3,$B$17)</f>
        <v>84</v>
      </c>
      <c r="AU47" s="26" t="str">
        <f>RTD("modbusexcel.rtd",,$A$17,$C$17,IF($E$4="n","D",$D$17),P47,$AI47,$D$3,$B$17)</f>
        <v>84</v>
      </c>
      <c r="AV47" s="26" t="str">
        <f>RTD("modbusexcel.rtd",,$A$17,$C$17,IF($E$4="n","D",$D$17),Q47,$AI47,$D$3,$B$17)</f>
        <v>60</v>
      </c>
      <c r="AW47" s="26" t="str">
        <f>RTD("modbusexcel.rtd",,$A$17,$C$17,IF($E$4="n","D",$D$17),R47,$AI47,$D$3,$B$17)</f>
        <v>84</v>
      </c>
      <c r="AX47" s="26" t="str">
        <f>RTD("modbusexcel.rtd",,$A$17,$C$17,IF($E$4="n","D",$D$17),S47,$AI47,$D$3,$B$17)</f>
        <v>87</v>
      </c>
      <c r="AY47" s="26" t="str">
        <f>RTD("modbusexcel.rtd",,$A$17,$C$17,IF($E$4="n","D",$D$17),T47,$AI47,$D$3,$B$17)</f>
        <v>87</v>
      </c>
      <c r="AZ47" s="26" t="str">
        <f>RTD("modbusexcel.rtd",,$A$17,$C$17,IF($E$4="n","D",$D$17),U47,$AI47,$D$3,$B$17)</f>
        <v>60</v>
      </c>
      <c r="BA47" s="26" t="str">
        <f>RTD("modbusexcel.rtd",,$A$17,$C$17,IF($E$4="n","D",$D$17),V47,$AI47,$D$3,$B$17)</f>
        <v>84</v>
      </c>
      <c r="BB47" s="26" t="str">
        <f>RTD("modbusexcel.rtd",,$A$17,$C$17,IF($E$4="n","D",$D$17),W47,$AI47,$D$3,$B$17)</f>
        <v>84</v>
      </c>
      <c r="BC47" s="26" t="str">
        <f>RTD("modbusexcel.rtd",,$A$17,$C$17,IF($E$4="n","D",$D$17),X47,$AI47,$D$3,$B$17)</f>
        <v>84</v>
      </c>
      <c r="BD47" s="26" t="str">
        <f>RTD("modbusexcel.rtd",,$A$17,$C$17,IF($E$4="n","D",$D$17),Y47,$AI47,$D$3,$B$17)</f>
        <v>84</v>
      </c>
      <c r="BE47" s="26" t="str">
        <f>RTD("modbusexcel.rtd",,$A$17,$C$17,IF($E$4="n","D",$D$17),Z47,$AI47,$D$3,$B$17)</f>
        <v>84</v>
      </c>
      <c r="BF47" s="26" t="str">
        <f>RTD("modbusexcel.rtd",,$A$17,$C$17,IF($E$4="n","D",$D$17),AA47,$AI47,$D$3,$B$17)</f>
        <v>84</v>
      </c>
      <c r="BG47" s="26" t="str">
        <f>RTD("modbusexcel.rtd",,$A$17,$C$17,IF($E$4="n","D",$D$17),AB47,$AI47,$D$3,$B$17)</f>
        <v>84</v>
      </c>
      <c r="BH47" s="26" t="str">
        <f>RTD("modbusexcel.rtd",,$A$17,$C$17,IF($E$4="n","D",$D$17),AC47,$AI47,$D$3,$B$17)</f>
        <v>60</v>
      </c>
      <c r="BI47" s="26" t="str">
        <f>RTD("modbusexcel.rtd",,$A$17,$C$17,IF($E$4="n","D",$D$17),AD47,$AI47,$D$3,$B$17)</f>
        <v>84</v>
      </c>
      <c r="BJ47" s="26" t="str">
        <f>RTD("modbusexcel.rtd",,$A$17,$C$17,IF($E$4="n","D",$D$17),AE47,$AI47,$D$3,$B$17)</f>
        <v>84</v>
      </c>
      <c r="BK47" s="26" t="str">
        <f>RTD("modbusexcel.rtd",,$A$17,$C$17,IF($E$4="n","D",$D$17),AF47,$AI47,$D$3,$B$17)</f>
        <v>87</v>
      </c>
      <c r="BL47" s="26" t="str">
        <f>RTD("modbusexcel.rtd",,$A$17,$C$17,IF($E$4="n","D",$D$17),AG47,$AI47,$D$3,$B$17)</f>
        <v>60</v>
      </c>
      <c r="BM47" s="26" t="str">
        <f>RTD("modbusexcel.rtd",,$A$17,$C$17,IF($E$4="n","D",$D$17),AH47,$AI47,$D$3,$B$17)</f>
        <v>84</v>
      </c>
    </row>
    <row r="48" spans="1:65" x14ac:dyDescent="0.25">
      <c r="A48" s="3"/>
      <c r="C48" s="3"/>
      <c r="D48" s="3"/>
      <c r="E48" s="27"/>
    </row>
    <row r="49" spans="1:4" x14ac:dyDescent="0.25">
      <c r="A49" s="3"/>
      <c r="C49" s="3"/>
      <c r="D49" s="3"/>
    </row>
    <row r="50" spans="1:4" x14ac:dyDescent="0.25">
      <c r="A50" s="3"/>
      <c r="C50" s="3"/>
      <c r="D50" s="3"/>
    </row>
    <row r="51" spans="1:4" x14ac:dyDescent="0.25">
      <c r="A51" s="3"/>
      <c r="C51" s="3"/>
      <c r="D51" s="3"/>
    </row>
    <row r="52" spans="1:4" x14ac:dyDescent="0.25">
      <c r="A52" s="3"/>
      <c r="C52" s="3"/>
      <c r="D52" s="3"/>
    </row>
    <row r="53" spans="1:4" x14ac:dyDescent="0.25">
      <c r="A53" s="3"/>
      <c r="C53" s="3"/>
      <c r="D53" s="3"/>
    </row>
    <row r="54" spans="1:4" x14ac:dyDescent="0.25">
      <c r="A54" s="3"/>
      <c r="C54" s="3"/>
      <c r="D54" s="3"/>
    </row>
    <row r="55" spans="1:4" x14ac:dyDescent="0.25">
      <c r="A55" s="3"/>
      <c r="C55" s="3"/>
      <c r="D55" s="3"/>
    </row>
    <row r="56" spans="1:4" x14ac:dyDescent="0.25">
      <c r="A56" s="3"/>
      <c r="C56" s="3"/>
      <c r="D56" s="3"/>
    </row>
    <row r="57" spans="1:4" x14ac:dyDescent="0.25">
      <c r="A57" s="3"/>
      <c r="C57" s="3"/>
      <c r="D57" s="3"/>
    </row>
    <row r="58" spans="1:4" x14ac:dyDescent="0.25">
      <c r="A58" s="3"/>
      <c r="C58" s="3"/>
      <c r="D58" s="3"/>
    </row>
    <row r="59" spans="1:4" x14ac:dyDescent="0.25">
      <c r="A59" s="3"/>
      <c r="C59" s="3"/>
      <c r="D59" s="3"/>
    </row>
    <row r="60" spans="1:4" x14ac:dyDescent="0.25">
      <c r="A60" s="3"/>
      <c r="C60" s="3"/>
      <c r="D60" s="3"/>
    </row>
    <row r="61" spans="1:4" x14ac:dyDescent="0.25">
      <c r="A61" s="3"/>
      <c r="C61" s="3"/>
      <c r="D61" s="3"/>
    </row>
    <row r="62" spans="1:4" x14ac:dyDescent="0.25">
      <c r="A62" s="3"/>
      <c r="C62" s="3"/>
      <c r="D62" s="3"/>
    </row>
    <row r="63" spans="1:4" x14ac:dyDescent="0.25">
      <c r="A63" s="3"/>
      <c r="C63" s="3"/>
      <c r="D63" s="3"/>
    </row>
    <row r="64" spans="1:4" x14ac:dyDescent="0.25">
      <c r="A64" s="3"/>
      <c r="C64" s="3"/>
      <c r="D64" s="3"/>
    </row>
    <row r="65" spans="1:4" x14ac:dyDescent="0.25">
      <c r="A65" s="3"/>
      <c r="C65" s="3"/>
      <c r="D65" s="3"/>
    </row>
    <row r="66" spans="1:4" x14ac:dyDescent="0.25">
      <c r="A66" s="3"/>
      <c r="C66" s="3"/>
      <c r="D66" s="3"/>
    </row>
    <row r="67" spans="1:4" x14ac:dyDescent="0.25">
      <c r="A67" s="3"/>
      <c r="C67" s="3"/>
      <c r="D67" s="3"/>
    </row>
    <row r="68" spans="1:4" x14ac:dyDescent="0.25">
      <c r="A68" s="3"/>
      <c r="C68" s="3"/>
      <c r="D68" s="3"/>
    </row>
    <row r="69" spans="1:4" x14ac:dyDescent="0.25">
      <c r="A69" s="3"/>
      <c r="C69" s="3"/>
      <c r="D69" s="3"/>
    </row>
    <row r="70" spans="1:4" x14ac:dyDescent="0.25">
      <c r="A70" s="3"/>
      <c r="C70" s="3"/>
      <c r="D70" s="3"/>
    </row>
    <row r="71" spans="1:4" x14ac:dyDescent="0.25">
      <c r="A71" s="3"/>
      <c r="C71" s="3"/>
      <c r="D71" s="3"/>
    </row>
    <row r="72" spans="1:4" x14ac:dyDescent="0.25">
      <c r="A72" s="3"/>
      <c r="C72" s="3"/>
      <c r="D72" s="3"/>
    </row>
    <row r="73" spans="1:4" x14ac:dyDescent="0.25">
      <c r="A73" s="3"/>
      <c r="C73" s="3"/>
      <c r="D73" s="3"/>
    </row>
    <row r="74" spans="1:4" x14ac:dyDescent="0.25">
      <c r="A74" s="3"/>
      <c r="C74" s="3"/>
      <c r="D74" s="3"/>
    </row>
    <row r="75" spans="1:4" x14ac:dyDescent="0.25">
      <c r="A75" s="3"/>
      <c r="C75" s="3"/>
      <c r="D75" s="3"/>
    </row>
    <row r="76" spans="1:4" x14ac:dyDescent="0.25">
      <c r="A76" s="3"/>
      <c r="C76" s="3"/>
      <c r="D76" s="3"/>
    </row>
    <row r="77" spans="1:4" x14ac:dyDescent="0.25">
      <c r="A77" s="3"/>
      <c r="C77" s="3"/>
      <c r="D77" s="3"/>
    </row>
    <row r="78" spans="1:4" x14ac:dyDescent="0.25">
      <c r="A78" s="3"/>
      <c r="C78" s="3"/>
      <c r="D78" s="3"/>
    </row>
    <row r="79" spans="1:4" x14ac:dyDescent="0.25">
      <c r="A79" s="3"/>
      <c r="C79" s="3"/>
      <c r="D79" s="3"/>
    </row>
    <row r="80" spans="1:4" x14ac:dyDescent="0.25">
      <c r="A80" s="3"/>
      <c r="C80" s="3"/>
      <c r="D80" s="3"/>
    </row>
    <row r="81" spans="1:4" x14ac:dyDescent="0.25">
      <c r="A81" s="3"/>
      <c r="C81" s="3"/>
      <c r="D81" s="3"/>
    </row>
    <row r="82" spans="1:4" x14ac:dyDescent="0.25">
      <c r="A82" s="3"/>
      <c r="C82" s="3"/>
      <c r="D82" s="3"/>
    </row>
    <row r="83" spans="1:4" x14ac:dyDescent="0.25">
      <c r="A83" s="3"/>
      <c r="C83" s="3"/>
      <c r="D83" s="3"/>
    </row>
    <row r="84" spans="1:4" x14ac:dyDescent="0.25">
      <c r="A84" s="3"/>
      <c r="C84" s="3"/>
      <c r="D84" s="3"/>
    </row>
    <row r="85" spans="1:4" x14ac:dyDescent="0.25">
      <c r="A85" s="3"/>
      <c r="C85" s="3"/>
      <c r="D85" s="3"/>
    </row>
    <row r="86" spans="1:4" x14ac:dyDescent="0.25">
      <c r="A86" s="3"/>
      <c r="C86" s="3"/>
      <c r="D86" s="3"/>
    </row>
    <row r="87" spans="1:4" x14ac:dyDescent="0.25">
      <c r="A87" s="3"/>
      <c r="C87" s="3"/>
      <c r="D87" s="3"/>
    </row>
    <row r="88" spans="1:4" x14ac:dyDescent="0.25">
      <c r="A88" s="3"/>
      <c r="C88" s="3"/>
      <c r="D88" s="3"/>
    </row>
    <row r="89" spans="1:4" x14ac:dyDescent="0.25">
      <c r="A89" s="3"/>
      <c r="C89" s="3"/>
      <c r="D89" s="3"/>
    </row>
    <row r="90" spans="1:4" x14ac:dyDescent="0.25">
      <c r="A90" s="3"/>
      <c r="C90" s="3"/>
      <c r="D90" s="3"/>
    </row>
    <row r="91" spans="1:4" x14ac:dyDescent="0.25">
      <c r="A91" s="3"/>
      <c r="C91" s="3"/>
      <c r="D91" s="3"/>
    </row>
    <row r="92" spans="1:4" x14ac:dyDescent="0.25">
      <c r="A92" s="3"/>
      <c r="C92" s="3"/>
      <c r="D92" s="3"/>
    </row>
    <row r="93" spans="1:4" x14ac:dyDescent="0.25">
      <c r="A93" s="3"/>
      <c r="C93" s="3"/>
      <c r="D93" s="3"/>
    </row>
    <row r="94" spans="1:4" x14ac:dyDescent="0.25">
      <c r="A94" s="3"/>
      <c r="C94" s="3"/>
      <c r="D94" s="3"/>
    </row>
    <row r="95" spans="1:4" x14ac:dyDescent="0.25">
      <c r="A95" s="3"/>
      <c r="C95" s="3"/>
      <c r="D95" s="3"/>
    </row>
    <row r="96" spans="1:4" x14ac:dyDescent="0.25">
      <c r="A96" s="3"/>
      <c r="C96" s="3"/>
      <c r="D96" s="3"/>
    </row>
    <row r="97" spans="1:4" x14ac:dyDescent="0.25">
      <c r="A97" s="3"/>
      <c r="C97" s="3"/>
      <c r="D97" s="3"/>
    </row>
    <row r="98" spans="1:4" x14ac:dyDescent="0.25">
      <c r="A98" s="3"/>
      <c r="C98" s="3"/>
      <c r="D98" s="3"/>
    </row>
    <row r="99" spans="1:4" x14ac:dyDescent="0.25">
      <c r="A99" s="3"/>
      <c r="C99" s="3"/>
      <c r="D99" s="3"/>
    </row>
    <row r="100" spans="1:4" x14ac:dyDescent="0.25">
      <c r="A100" s="3"/>
      <c r="C100" s="3"/>
      <c r="D100" s="3"/>
    </row>
    <row r="101" spans="1:4" x14ac:dyDescent="0.25">
      <c r="A101" s="3"/>
      <c r="C101" s="3"/>
      <c r="D101" s="3"/>
    </row>
    <row r="102" spans="1:4" x14ac:dyDescent="0.25">
      <c r="A102" s="3"/>
      <c r="C102" s="3"/>
      <c r="D102" s="3"/>
    </row>
    <row r="103" spans="1:4" x14ac:dyDescent="0.25">
      <c r="A103" s="3"/>
      <c r="C103" s="3"/>
      <c r="D103" s="3"/>
    </row>
    <row r="104" spans="1:4" x14ac:dyDescent="0.25">
      <c r="A104" s="3"/>
      <c r="C104" s="3"/>
      <c r="D104" s="3"/>
    </row>
    <row r="105" spans="1:4" x14ac:dyDescent="0.25">
      <c r="A105" s="3"/>
      <c r="C105" s="3"/>
      <c r="D105" s="3"/>
    </row>
    <row r="106" spans="1:4" x14ac:dyDescent="0.25">
      <c r="A106" s="3"/>
      <c r="C106" s="3"/>
      <c r="D106" s="3"/>
    </row>
    <row r="107" spans="1:4" x14ac:dyDescent="0.25">
      <c r="A107" s="3"/>
      <c r="C107" s="3"/>
      <c r="D107" s="3"/>
    </row>
    <row r="108" spans="1:4" x14ac:dyDescent="0.25">
      <c r="A108" s="3"/>
      <c r="C108" s="3"/>
      <c r="D108" s="3"/>
    </row>
    <row r="109" spans="1:4" x14ac:dyDescent="0.25">
      <c r="A109" s="3"/>
      <c r="C109" s="3"/>
      <c r="D109" s="3"/>
    </row>
    <row r="110" spans="1:4" x14ac:dyDescent="0.25">
      <c r="A110" s="3"/>
      <c r="C110" s="3"/>
      <c r="D110" s="3"/>
    </row>
    <row r="111" spans="1:4" x14ac:dyDescent="0.25">
      <c r="A111" s="3"/>
      <c r="C111" s="3"/>
      <c r="D111" s="3"/>
    </row>
    <row r="112" spans="1:4" x14ac:dyDescent="0.25">
      <c r="A112" s="3"/>
      <c r="C112" s="3"/>
      <c r="D112" s="3"/>
    </row>
    <row r="113" spans="1:4" x14ac:dyDescent="0.25">
      <c r="A113" s="3"/>
      <c r="C113" s="3"/>
      <c r="D113" s="3"/>
    </row>
    <row r="114" spans="1:4" x14ac:dyDescent="0.25">
      <c r="A114" s="3"/>
      <c r="C114" s="3"/>
      <c r="D114" s="3"/>
    </row>
    <row r="115" spans="1:4" x14ac:dyDescent="0.25">
      <c r="A115" s="3"/>
      <c r="C115" s="3"/>
      <c r="D115" s="3"/>
    </row>
    <row r="116" spans="1:4" x14ac:dyDescent="0.25">
      <c r="A116" s="3"/>
      <c r="C116" s="3"/>
      <c r="D116" s="3"/>
    </row>
    <row r="117" spans="1:4" x14ac:dyDescent="0.25">
      <c r="A117" s="3"/>
      <c r="C117" s="3"/>
      <c r="D117" s="3"/>
    </row>
    <row r="118" spans="1:4" x14ac:dyDescent="0.25">
      <c r="A118" s="3"/>
      <c r="C118" s="3"/>
      <c r="D118" s="3"/>
    </row>
    <row r="119" spans="1:4" x14ac:dyDescent="0.25">
      <c r="A119" s="3"/>
      <c r="C119" s="3"/>
      <c r="D119" s="3"/>
    </row>
    <row r="120" spans="1:4" x14ac:dyDescent="0.25">
      <c r="A120" s="3"/>
      <c r="C120" s="3"/>
      <c r="D120" s="3"/>
    </row>
    <row r="121" spans="1:4" x14ac:dyDescent="0.25">
      <c r="A121" s="3"/>
      <c r="C121" s="3"/>
      <c r="D121" s="3"/>
    </row>
    <row r="122" spans="1:4" x14ac:dyDescent="0.25">
      <c r="A122" s="3"/>
      <c r="C122" s="3"/>
      <c r="D122" s="3"/>
    </row>
    <row r="123" spans="1:4" x14ac:dyDescent="0.25">
      <c r="A123" s="3"/>
      <c r="C123" s="3"/>
      <c r="D123" s="3"/>
    </row>
    <row r="124" spans="1:4" x14ac:dyDescent="0.25">
      <c r="A124" s="3"/>
      <c r="C124" s="3"/>
      <c r="D124" s="3"/>
    </row>
    <row r="125" spans="1:4" x14ac:dyDescent="0.25">
      <c r="A125" s="3"/>
      <c r="C125" s="3"/>
      <c r="D125" s="3"/>
    </row>
    <row r="126" spans="1:4" x14ac:dyDescent="0.25">
      <c r="A126" s="3"/>
      <c r="C126" s="3"/>
      <c r="D126" s="3"/>
    </row>
    <row r="127" spans="1:4" x14ac:dyDescent="0.25">
      <c r="A127" s="3"/>
      <c r="C127" s="3"/>
      <c r="D127" s="3"/>
    </row>
    <row r="128" spans="1:4" x14ac:dyDescent="0.25">
      <c r="A128" s="3"/>
      <c r="C128" s="3"/>
      <c r="D128" s="3"/>
    </row>
    <row r="129" spans="1:4" x14ac:dyDescent="0.25">
      <c r="A129" s="3"/>
      <c r="C129" s="3"/>
      <c r="D129" s="3"/>
    </row>
    <row r="130" spans="1:4" x14ac:dyDescent="0.25">
      <c r="A130" s="3"/>
      <c r="C130" s="3"/>
      <c r="D130" s="3"/>
    </row>
    <row r="131" spans="1:4" x14ac:dyDescent="0.25">
      <c r="A131" s="3"/>
      <c r="C131" s="3"/>
      <c r="D131" s="3"/>
    </row>
    <row r="132" spans="1:4" x14ac:dyDescent="0.25">
      <c r="A132" s="3"/>
      <c r="C132" s="3"/>
      <c r="D132" s="3"/>
    </row>
    <row r="133" spans="1:4" x14ac:dyDescent="0.25">
      <c r="A133" s="3"/>
      <c r="C133" s="3"/>
      <c r="D133" s="3"/>
    </row>
  </sheetData>
  <mergeCells count="13">
    <mergeCell ref="A1:B1"/>
    <mergeCell ref="A15:B15"/>
    <mergeCell ref="A3:B3"/>
    <mergeCell ref="A4:B4"/>
    <mergeCell ref="A10:B10"/>
    <mergeCell ref="A13:B13"/>
    <mergeCell ref="A14:B14"/>
    <mergeCell ref="A8:B8"/>
    <mergeCell ref="A6:B6"/>
    <mergeCell ref="A11:B11"/>
    <mergeCell ref="A12:B12"/>
    <mergeCell ref="A7:B7"/>
    <mergeCell ref="A9:B9"/>
  </mergeCells>
  <conditionalFormatting sqref="AJ17:BM47">
    <cfRule type="iconSet" priority="1">
      <iconSet iconSet="3Symbols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8"/>
  <sheetViews>
    <sheetView workbookViewId="0">
      <selection activeCell="B2" sqref="B2"/>
    </sheetView>
  </sheetViews>
  <sheetFormatPr defaultRowHeight="15" x14ac:dyDescent="0.25"/>
  <cols>
    <col min="3" max="3" width="137" bestFit="1" customWidth="1"/>
  </cols>
  <sheetData>
    <row r="1" spans="1:4" s="13" customFormat="1" ht="18.75" x14ac:dyDescent="0.3">
      <c r="A1" s="14" t="s">
        <v>39</v>
      </c>
      <c r="B1" s="14"/>
      <c r="C1" s="14"/>
    </row>
    <row r="2" spans="1:4" x14ac:dyDescent="0.25">
      <c r="A2" s="12">
        <v>16384</v>
      </c>
      <c r="B2" s="17">
        <v>1</v>
      </c>
      <c r="C2" s="3" t="s">
        <v>33</v>
      </c>
      <c r="D2" s="3"/>
    </row>
    <row r="3" spans="1:4" x14ac:dyDescent="0.25">
      <c r="A3" s="12">
        <f>A2/2</f>
        <v>8192</v>
      </c>
      <c r="B3" s="16">
        <v>0</v>
      </c>
      <c r="C3" s="3" t="s">
        <v>13</v>
      </c>
      <c r="D3" s="3"/>
    </row>
    <row r="4" spans="1:4" x14ac:dyDescent="0.25">
      <c r="A4" s="12">
        <f t="shared" ref="A4:A16" si="0">A3/2</f>
        <v>4096</v>
      </c>
      <c r="B4" s="17">
        <v>0</v>
      </c>
      <c r="C4" s="3" t="s">
        <v>34</v>
      </c>
      <c r="D4" s="3"/>
    </row>
    <row r="5" spans="1:4" x14ac:dyDescent="0.25">
      <c r="A5" s="12">
        <f t="shared" si="0"/>
        <v>2048</v>
      </c>
      <c r="B5" s="16">
        <v>0</v>
      </c>
      <c r="C5" s="3" t="s">
        <v>14</v>
      </c>
      <c r="D5" s="3"/>
    </row>
    <row r="6" spans="1:4" x14ac:dyDescent="0.25">
      <c r="A6" s="12">
        <f t="shared" si="0"/>
        <v>1024</v>
      </c>
      <c r="B6" s="16">
        <v>0</v>
      </c>
      <c r="C6" s="3" t="s">
        <v>15</v>
      </c>
      <c r="D6" s="3"/>
    </row>
    <row r="7" spans="1:4" x14ac:dyDescent="0.25">
      <c r="A7" s="12">
        <f t="shared" si="0"/>
        <v>512</v>
      </c>
      <c r="B7" s="17">
        <v>0</v>
      </c>
      <c r="C7" s="3" t="s">
        <v>16</v>
      </c>
      <c r="D7" s="3"/>
    </row>
    <row r="8" spans="1:4" x14ac:dyDescent="0.25">
      <c r="A8" s="12">
        <f t="shared" si="0"/>
        <v>256</v>
      </c>
      <c r="B8" s="16">
        <v>0</v>
      </c>
      <c r="C8" s="3" t="s">
        <v>17</v>
      </c>
      <c r="D8" s="3"/>
    </row>
    <row r="9" spans="1:4" x14ac:dyDescent="0.25">
      <c r="A9" s="12">
        <f t="shared" si="0"/>
        <v>128</v>
      </c>
      <c r="B9" s="16">
        <v>0</v>
      </c>
      <c r="C9" s="3" t="s">
        <v>18</v>
      </c>
      <c r="D9" s="3"/>
    </row>
    <row r="10" spans="1:4" x14ac:dyDescent="0.25">
      <c r="A10" s="12">
        <f t="shared" si="0"/>
        <v>64</v>
      </c>
      <c r="B10" s="16">
        <v>0</v>
      </c>
      <c r="C10" s="3" t="s">
        <v>19</v>
      </c>
      <c r="D10" s="3"/>
    </row>
    <row r="11" spans="1:4" x14ac:dyDescent="0.25">
      <c r="A11" s="12">
        <f t="shared" si="0"/>
        <v>32</v>
      </c>
      <c r="B11" s="16">
        <v>1</v>
      </c>
      <c r="C11" s="3" t="s">
        <v>20</v>
      </c>
      <c r="D11" s="3"/>
    </row>
    <row r="12" spans="1:4" x14ac:dyDescent="0.25">
      <c r="A12" s="12">
        <f t="shared" si="0"/>
        <v>16</v>
      </c>
      <c r="B12" s="16">
        <v>0</v>
      </c>
      <c r="C12" s="3" t="s">
        <v>21</v>
      </c>
      <c r="D12" s="3"/>
    </row>
    <row r="13" spans="1:4" x14ac:dyDescent="0.25">
      <c r="A13" s="12">
        <f t="shared" si="0"/>
        <v>8</v>
      </c>
      <c r="B13" s="16">
        <v>0</v>
      </c>
      <c r="C13" s="3" t="s">
        <v>22</v>
      </c>
      <c r="D13" s="3"/>
    </row>
    <row r="14" spans="1:4" x14ac:dyDescent="0.25">
      <c r="A14" s="12">
        <f t="shared" si="0"/>
        <v>4</v>
      </c>
      <c r="B14" s="16">
        <v>1</v>
      </c>
      <c r="C14" s="3" t="s">
        <v>23</v>
      </c>
      <c r="D14" s="3"/>
    </row>
    <row r="15" spans="1:4" x14ac:dyDescent="0.25">
      <c r="A15" s="12">
        <f t="shared" si="0"/>
        <v>2</v>
      </c>
      <c r="B15" s="16">
        <v>0</v>
      </c>
      <c r="C15" s="3" t="s">
        <v>24</v>
      </c>
      <c r="D15" s="3"/>
    </row>
    <row r="16" spans="1:4" x14ac:dyDescent="0.25">
      <c r="A16" s="12">
        <f t="shared" si="0"/>
        <v>1</v>
      </c>
      <c r="B16" s="16">
        <v>0</v>
      </c>
      <c r="C16" s="3" t="s">
        <v>25</v>
      </c>
      <c r="D16" s="3"/>
    </row>
    <row r="17" spans="1:3" ht="15.75" thickBot="1" x14ac:dyDescent="0.3">
      <c r="A17" s="12">
        <v>0</v>
      </c>
      <c r="B17" s="18">
        <v>0</v>
      </c>
      <c r="C17" s="16" t="s">
        <v>36</v>
      </c>
    </row>
    <row r="18" spans="1:3" ht="15.75" thickBot="1" x14ac:dyDescent="0.3">
      <c r="A18" s="10"/>
      <c r="B18" s="11">
        <f>(B3*A3+B5*A5+B6*A6+B8*A8+B9*A9+B10*A10+B11*A11+B12*A12+B13*A13+B14*A14+B15*A15+B16)*B17+B2*A2+B7*A7+B4*A4</f>
        <v>16384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Polls</vt:lpstr>
      <vt:lpstr>LogLevels</vt:lpstr>
      <vt:lpstr>LogLevel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Selvia, Ken</dc:creator>
  <cp:lastModifiedBy>gotaudio</cp:lastModifiedBy>
  <dcterms:created xsi:type="dcterms:W3CDTF">2006-09-16T00:00:00Z</dcterms:created>
  <dcterms:modified xsi:type="dcterms:W3CDTF">2015-08-10T09:30:24Z</dcterms:modified>
</cp:coreProperties>
</file>