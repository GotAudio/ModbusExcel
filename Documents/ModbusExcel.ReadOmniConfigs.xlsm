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dev\repos\Got\ModbusExcel\Documents\"/>
    </mc:Choice>
  </mc:AlternateContent>
  <bookViews>
    <workbookView xWindow="870" yWindow="825" windowWidth="13815" windowHeight="6825"/>
  </bookViews>
  <sheets>
    <sheet name="Polls" sheetId="1" r:id="rId1"/>
    <sheet name="LogLevels" sheetId="18" r:id="rId2"/>
    <sheet name="RegisterDescriptions" sheetId="19" r:id="rId3"/>
  </sheets>
  <functionGroups builtInGroupCount="18"/>
  <definedNames>
    <definedName name="_xlnm._FilterDatabase" localSheetId="2" hidden="1">RegisterDescriptions!$A$1:$B$1</definedName>
    <definedName name="AESRdaList">#REF!</definedName>
    <definedName name="LogLevel">LogLevels!$B$18</definedName>
    <definedName name="PublishedRDA">#REF!</definedName>
    <definedName name="RDAMAP">#REF!</definedName>
    <definedName name="RDAREV">#REF!</definedName>
    <definedName name="RegDesc">RegisterDescriptions!$A$1:$B$1129</definedName>
    <definedName name="RegDescr">RegisterDescriptions!$A:$B</definedName>
    <definedName name="TBL">#REF!</definedName>
    <definedName name="Validations">#REF!</definedName>
  </definedNames>
  <calcPr calcId="152511"/>
</workbook>
</file>

<file path=xl/calcChain.xml><?xml version="1.0" encoding="utf-8"?>
<calcChain xmlns="http://schemas.openxmlformats.org/spreadsheetml/2006/main">
  <c r="W23" i="1" l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J11" i="1"/>
  <c r="O27" i="1"/>
  <c r="T20" i="1"/>
  <c r="O20" i="1"/>
  <c r="J19" i="1"/>
  <c r="J24" i="1"/>
  <c r="J21" i="1"/>
  <c r="O16" i="1"/>
  <c r="Y18" i="1"/>
  <c r="Y11" i="1"/>
  <c r="J25" i="1"/>
  <c r="O17" i="1"/>
  <c r="O28" i="1"/>
  <c r="Y19" i="1"/>
  <c r="T33" i="1"/>
  <c r="O5" i="1"/>
  <c r="J34" i="1"/>
  <c r="T21" i="1"/>
  <c r="T5" i="1"/>
  <c r="Y20" i="1"/>
  <c r="J17" i="1"/>
  <c r="J28" i="1"/>
  <c r="J13" i="1"/>
  <c r="Y22" i="1"/>
  <c r="J35" i="1"/>
  <c r="Y14" i="1"/>
  <c r="Y21" i="1"/>
  <c r="T13" i="1"/>
  <c r="J14" i="1"/>
  <c r="T12" i="1"/>
  <c r="J30" i="1"/>
  <c r="T18" i="1"/>
  <c r="T28" i="1"/>
  <c r="Y5" i="1"/>
  <c r="Y7" i="1"/>
  <c r="O32" i="1"/>
  <c r="O11" i="1"/>
  <c r="J6" i="1"/>
  <c r="Y16" i="1"/>
  <c r="J22" i="1"/>
  <c r="O12" i="1"/>
  <c r="T25" i="1"/>
  <c r="O15" i="1"/>
  <c r="T11" i="1"/>
  <c r="J20" i="1"/>
  <c r="O21" i="1"/>
  <c r="O22" i="1"/>
  <c r="O13" i="1"/>
  <c r="J7" i="1"/>
  <c r="T19" i="1"/>
  <c r="Y6" i="1"/>
  <c r="J27" i="1"/>
  <c r="T15" i="1"/>
  <c r="T14" i="1"/>
  <c r="J16" i="1"/>
  <c r="T24" i="1"/>
  <c r="Y8" i="1"/>
  <c r="T23" i="1"/>
  <c r="O9" i="1"/>
  <c r="O34" i="1"/>
  <c r="O8" i="1"/>
  <c r="O30" i="1"/>
  <c r="O23" i="1"/>
  <c r="O31" i="1"/>
  <c r="Y13" i="1"/>
  <c r="O25" i="1"/>
  <c r="T9" i="1"/>
  <c r="J5" i="1"/>
  <c r="J8" i="1"/>
  <c r="T31" i="1"/>
  <c r="T27" i="1"/>
  <c r="T32" i="1"/>
  <c r="O19" i="1"/>
  <c r="J10" i="1"/>
  <c r="J9" i="1"/>
  <c r="T34" i="1"/>
  <c r="J12" i="1"/>
  <c r="T35" i="1"/>
  <c r="T29" i="1"/>
  <c r="O26" i="1"/>
  <c r="Y10" i="1"/>
  <c r="J26" i="1"/>
  <c r="T10" i="1"/>
  <c r="O7" i="1"/>
  <c r="T7" i="1"/>
  <c r="O33" i="1"/>
  <c r="Y17" i="1"/>
  <c r="O14" i="1"/>
  <c r="J33" i="1"/>
  <c r="T17" i="1"/>
  <c r="O24" i="1"/>
  <c r="T26" i="1"/>
  <c r="Y15" i="1"/>
  <c r="Y23" i="1"/>
  <c r="O6" i="1"/>
  <c r="T36" i="1"/>
  <c r="O10" i="1"/>
  <c r="J15" i="1"/>
  <c r="T16" i="1"/>
  <c r="J31" i="1"/>
  <c r="T22" i="1"/>
  <c r="J36" i="1"/>
  <c r="J23" i="1"/>
  <c r="T8" i="1"/>
  <c r="Y12" i="1"/>
  <c r="T6" i="1"/>
  <c r="O18" i="1"/>
  <c r="J32" i="1"/>
  <c r="T30" i="1"/>
  <c r="J18" i="1"/>
  <c r="Y9" i="1"/>
  <c r="O35" i="1"/>
  <c r="O29" i="1"/>
  <c r="O36" i="1"/>
  <c r="J29" i="1"/>
  <c r="C2" i="1"/>
  <c r="B18" i="18" l="1"/>
  <c r="C7" i="1"/>
  <c r="C3" i="1"/>
  <c r="A4" i="18" l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C15" i="1"/>
  <c r="C9" i="1"/>
  <c r="C6" i="1"/>
  <c r="C5" i="1"/>
  <c r="C8" i="1"/>
  <c r="A3" i="18" l="1"/>
  <c r="C13" i="1"/>
  <c r="C14" i="1"/>
  <c r="C4" i="1"/>
  <c r="C11" i="1"/>
  <c r="C12" i="1"/>
  <c r="C10" i="1"/>
</calcChain>
</file>

<file path=xl/sharedStrings.xml><?xml version="1.0" encoding="utf-8"?>
<sst xmlns="http://schemas.openxmlformats.org/spreadsheetml/2006/main" count="1188" uniqueCount="1093">
  <si>
    <t>Host</t>
  </si>
  <si>
    <t>Unit</t>
  </si>
  <si>
    <t>Modicon</t>
  </si>
  <si>
    <t>Excel Update Rate (Default=2000ms)</t>
  </si>
  <si>
    <t>Poll Rate (-1=Disabled,0=Once, n=ms)</t>
  </si>
  <si>
    <t>Delete Cached Values (True, False)</t>
  </si>
  <si>
    <t>Info:Topic Count</t>
  </si>
  <si>
    <t>Info:Connections</t>
  </si>
  <si>
    <t>Info:Sent/Received</t>
  </si>
  <si>
    <t>Socket timeout (Default=10000ms)</t>
  </si>
  <si>
    <t>Connection (PerRegister/PerDevice)</t>
  </si>
  <si>
    <t>Enable</t>
  </si>
  <si>
    <t>Length</t>
  </si>
  <si>
    <t>N</t>
  </si>
  <si>
    <t>Modbus Tools for Excel  (V.082512.1)</t>
  </si>
  <si>
    <t>127.0.0.1</t>
  </si>
  <si>
    <t>Connect Status</t>
  </si>
  <si>
    <t>Errors</t>
  </si>
  <si>
    <t>RefreshData()</t>
  </si>
  <si>
    <t xml:space="preserve">Hex Output    </t>
  </si>
  <si>
    <t>StateInfo+Stats+Data</t>
  </si>
  <si>
    <t>StateInfo+Stats</t>
  </si>
  <si>
    <t>StateInfo+Data</t>
  </si>
  <si>
    <t>Read Request</t>
  </si>
  <si>
    <t>Response Received</t>
  </si>
  <si>
    <t>Connect/Disconnect</t>
  </si>
  <si>
    <t>Server Start/Stop</t>
  </si>
  <si>
    <t>Other Topic Register</t>
  </si>
  <si>
    <t>Config Topic Register</t>
  </si>
  <si>
    <t>Port</t>
  </si>
  <si>
    <t>Info: Connections Pending</t>
  </si>
  <si>
    <t>MaxConnectionsPending</t>
  </si>
  <si>
    <t>Info: Reads Pending</t>
  </si>
  <si>
    <t>MaxPendingReads</t>
  </si>
  <si>
    <t>Min Connections Before Read</t>
  </si>
  <si>
    <t>Simulate (0=No,-1=Con,1=Inc)</t>
  </si>
  <si>
    <t>Synchronous Read, Async Connect (Default is Async Read and Async Connect)</t>
  </si>
  <si>
    <t>Publish Raw data to MSMQ (You can change the QueueName in RTD.cs.  See CLR functions to save to SQL tables (remind me if I forget to publish them)</t>
  </si>
  <si>
    <t>LogLevel</t>
  </si>
  <si>
    <t>1=File Log Enabled, 0=File Log Disabled</t>
  </si>
  <si>
    <t>Register</t>
  </si>
  <si>
    <t>Description</t>
  </si>
  <si>
    <t>Meter #1 Micro Motion Alarm Word</t>
  </si>
  <si>
    <t xml:space="preserve">Meter #1 Previous Batch 'n' # of Calculation Times </t>
  </si>
  <si>
    <t>Meter #2 Micro Motion Alarm Word</t>
  </si>
  <si>
    <t xml:space="preserve">Meter #2 Previous Batch 'n' # of Calculation Times </t>
  </si>
  <si>
    <t>Meter #3 Micro Motion Alarm Word</t>
  </si>
  <si>
    <t xml:space="preserve">Meter #3 Previous Batch 'n' # of Calculation Times </t>
  </si>
  <si>
    <t>Meter #4 Micro Motion Alarm Word</t>
  </si>
  <si>
    <t xml:space="preserve">Meter #4 Previous Batch 'n' # of Calculation Times </t>
  </si>
  <si>
    <t>Flow Direction/Pipeline Indication</t>
  </si>
  <si>
    <t>Meter #1 Running Batch - Start Date</t>
  </si>
  <si>
    <t>Meter #1 Running Batch - Start Time</t>
  </si>
  <si>
    <t>Meter #1 Last Batch Ended Date</t>
  </si>
  <si>
    <t>Meter #1 Last Batch Ended Time</t>
  </si>
  <si>
    <t>Meter #1 Running Product Name</t>
  </si>
  <si>
    <t>Meter #1 Current Calculation Mode</t>
  </si>
  <si>
    <t>Meter #1 Current Batch ID (Chars 1 - 8)</t>
  </si>
  <si>
    <t>Meter #1 Current Batch ID (Chars 9 - 16)</t>
  </si>
  <si>
    <t>Meter #1 Meter ID</t>
  </si>
  <si>
    <t>Meter #1 Flow Meter/DP Low Tag</t>
  </si>
  <si>
    <t>Meter #1 DP High Range Tag</t>
  </si>
  <si>
    <t>Meter #1 Temperature Transmitter Tag</t>
  </si>
  <si>
    <t>Meter #1 Pressure Transmitter Tag</t>
  </si>
  <si>
    <t>Meter #1 Gravity/Density Transmitter Tag</t>
  </si>
  <si>
    <t>Meter #1 Density Temperature Transmitter Tag</t>
  </si>
  <si>
    <t>Meter #1 Density Pressure Transmitter Tag</t>
  </si>
  <si>
    <t>Meter #1 PID Output Tag</t>
  </si>
  <si>
    <t>Meter #1 Equimeter Warning or Alarm - Part 1</t>
  </si>
  <si>
    <t>Meter #1 Equimeter Warning or Alarm - Part 2</t>
  </si>
  <si>
    <t>Meter #1 Equimeter Warning or Alarm - Part 3</t>
  </si>
  <si>
    <t>Meter #1 Day Start Time</t>
  </si>
  <si>
    <t>Meter #1 Day Start Date</t>
  </si>
  <si>
    <t>Meter #1 DP Mid Range Tag</t>
  </si>
  <si>
    <t>- 4130 Reserved</t>
  </si>
  <si>
    <t>NULL</t>
  </si>
  <si>
    <t>Meter #1 Previous Batch 'n' Batch Start Date</t>
  </si>
  <si>
    <t>Meter #1 Previous Batch 'n' Batch Start Time</t>
  </si>
  <si>
    <t>Meter #1 Previous Batch 'n' Batch End Date</t>
  </si>
  <si>
    <t>Meter #1 Previous Batch 'n' Batch End Time</t>
  </si>
  <si>
    <t>Meter #1 Previous Batch 'n' Product Name</t>
  </si>
  <si>
    <t>Meter #1 Previous Batch 'n' Calculation Mode</t>
  </si>
  <si>
    <t>Meter #1 Previous Batch 'n' Batch ID (Chars 1 - 8)</t>
  </si>
  <si>
    <t>Meter #1 Previous Batch 'n' Batch ID (Chars 9 -16)</t>
  </si>
  <si>
    <t>Meter #1 Previous Batch 'n' MF Used in Net/Mass</t>
  </si>
  <si>
    <t>Meter #1 Previous Day Start Time</t>
  </si>
  <si>
    <t>Meter #1 Previous Day Start Date</t>
  </si>
  <si>
    <t>Meter #1 Previous Day End Time</t>
  </si>
  <si>
    <t>Meter #1 Previous Day End Date</t>
  </si>
  <si>
    <t>Meter #2 Running Batch - Start Date</t>
  </si>
  <si>
    <t>Meter #2 Running Batch - Start Time</t>
  </si>
  <si>
    <t>Meter #2 Last Batch Ended Date</t>
  </si>
  <si>
    <t>Meter #2 Last Batch Ended Time</t>
  </si>
  <si>
    <t>Meter #2 Running Product Name</t>
  </si>
  <si>
    <t>Meter #2 Current Calculation Mode</t>
  </si>
  <si>
    <t>Meter #2 Current Batch ID (Chars 1 - 8)</t>
  </si>
  <si>
    <t>Meter #2 Current Batch ID (Chars 9 - 16)</t>
  </si>
  <si>
    <t>Meter #2 Meter ID</t>
  </si>
  <si>
    <t>Meter #2 Flow Meter/DP Low Tag</t>
  </si>
  <si>
    <t>Meter #2 DP High Range Tag</t>
  </si>
  <si>
    <t>Meter #2 Temperature Transmitter Tag</t>
  </si>
  <si>
    <t>Meter #2 Pressure Transmitter Tag</t>
  </si>
  <si>
    <t>Meter #2 Gravity/Density Transmitter Tag</t>
  </si>
  <si>
    <t>Meter #2 Density Temperature Transmitter Tag</t>
  </si>
  <si>
    <t>Meter #2 Density Pressure Transmitter Tag</t>
  </si>
  <si>
    <t>Meter #2 PID Output Tag</t>
  </si>
  <si>
    <t>Meter #2 Equimeter Warning or Alarm - Part 1</t>
  </si>
  <si>
    <t>Meter #2 Equimeter Warning or Alarm - Part 2</t>
  </si>
  <si>
    <t>Meter #2 Equimeter Warning or Alarm - Part 3</t>
  </si>
  <si>
    <t>Meter #2 Day Start Time</t>
  </si>
  <si>
    <t>Meter #2 Day Start Date</t>
  </si>
  <si>
    <t>Meter #2 DP Mid Range Tag</t>
  </si>
  <si>
    <t>Meter #2 Previous Batch 'n' Batch Start Date</t>
  </si>
  <si>
    <t>Meter #2 Previous Batch 'n' Batch Start Time</t>
  </si>
  <si>
    <t>Meter #2 Previous Batch 'n' Batch End Date</t>
  </si>
  <si>
    <t>Meter #2 Previous Batch 'n' Batch End Time</t>
  </si>
  <si>
    <t>Meter #2 Previous Batch 'n' Product Name</t>
  </si>
  <si>
    <t>Meter #2 Previous Batch 'n' Calculation Mode</t>
  </si>
  <si>
    <t>Meter #2 Previous Batch 'n' Batch ID (Chars 1 - 8)</t>
  </si>
  <si>
    <t>Meter #2 Previous Batch 'n' Batch ID (Chars 9 -16)</t>
  </si>
  <si>
    <t>Meter #2 Previous Batch 'n' MF Used in Net/Mass</t>
  </si>
  <si>
    <t>Meter #2 Previous Day Start Time</t>
  </si>
  <si>
    <t>Meter #2 Previous Day Start Date</t>
  </si>
  <si>
    <t>Meter #2 Previous Day End Time</t>
  </si>
  <si>
    <t>Meter #2 Previous Day End Date</t>
  </si>
  <si>
    <t>Meter #3 Running Batch - Start Date</t>
  </si>
  <si>
    <t>Meter #3 Running Batch - Start Time</t>
  </si>
  <si>
    <t>Meter #3 Last Batch Ended Date</t>
  </si>
  <si>
    <t>Meter #3 Last Batch Ended Time</t>
  </si>
  <si>
    <t>Meter #3 Running Product Name</t>
  </si>
  <si>
    <t>Meter #3 Current Calculation Mode</t>
  </si>
  <si>
    <t>Meter #3 Current Batch ID (Chars 1 - 8)</t>
  </si>
  <si>
    <t>Meter #3 Current Batch ID (Chars 9 - 16)</t>
  </si>
  <si>
    <t>Meter #3 Meter ID</t>
  </si>
  <si>
    <t>Meter #3 Flow Meter/DP Low Tag</t>
  </si>
  <si>
    <t>Meter #3 DP High Range Tag</t>
  </si>
  <si>
    <t>Meter #3 Temperature Transmitter Tag</t>
  </si>
  <si>
    <t>Meter #3 Pressure Transmitter Tag</t>
  </si>
  <si>
    <t>Meter #3 Gravity/Density Transmitter Tag</t>
  </si>
  <si>
    <t>Meter #3 Density Temperature Transmitter Tag</t>
  </si>
  <si>
    <t>Meter #3 Density Pressure Transmitter Tag</t>
  </si>
  <si>
    <t>Meter #3 PID Output Tag</t>
  </si>
  <si>
    <t>Meter #3 Equimeter Warning or Alarm - Part 1</t>
  </si>
  <si>
    <t>Meter #3 Equimeter Warning or Alarm - Part 2</t>
  </si>
  <si>
    <t>Meter #3 Equimeter Warning or Alarm - Part 3</t>
  </si>
  <si>
    <t>Meter #3 Day Start Time</t>
  </si>
  <si>
    <t>Meter #3 Day Start Date</t>
  </si>
  <si>
    <t>Meter #3 DP Mid Range Tag</t>
  </si>
  <si>
    <t>Meter #3 Previous Batch 'n' Batch Start Date</t>
  </si>
  <si>
    <t>Meter #3 Previous Batch 'n' Batch Start Time</t>
  </si>
  <si>
    <t>Meter #3 Previous Batch 'n' Batch End Date</t>
  </si>
  <si>
    <t>Meter #3 Previous Batch 'n' Batch End Time</t>
  </si>
  <si>
    <t>Meter #3 Previous Batch 'n' Product Name</t>
  </si>
  <si>
    <t>Meter #3 Previous Batch 'n' Calculation Mode</t>
  </si>
  <si>
    <t>Meter #3 Previous Batch 'n' Batch ID (Chars 1 - 8)</t>
  </si>
  <si>
    <t>Meter #3 Previous Batch 'n' Batch ID (Chars 9 -16)</t>
  </si>
  <si>
    <t>Meter #3 Previous Batch 'n' MF Used in Net/Mass</t>
  </si>
  <si>
    <t>Meter #3 Previous Day Start Time</t>
  </si>
  <si>
    <t>Meter #3 Previous Day Start Date</t>
  </si>
  <si>
    <t>Meter #3 Previous Day End Time</t>
  </si>
  <si>
    <t>Meter #3 Previous Day End Date</t>
  </si>
  <si>
    <t>Meter #4 Running Batch - Start Date</t>
  </si>
  <si>
    <t>Meter #4 Running Batch - Start Time</t>
  </si>
  <si>
    <t>Meter #4 Last Batch Ended Date</t>
  </si>
  <si>
    <t>Meter #4 Last Batch Ended Time</t>
  </si>
  <si>
    <t>Meter #4 Running Product Name</t>
  </si>
  <si>
    <t>Meter #4 Current Calculation Mode</t>
  </si>
  <si>
    <t>Meter #4 Current Batch ID (Chars 1 - 8)</t>
  </si>
  <si>
    <t>Meter #4 Current Batch ID (Chars 9 - 16)</t>
  </si>
  <si>
    <t>Meter #4 Meter ID</t>
  </si>
  <si>
    <t>Meter #4 Flow Meter/DP Low Tag</t>
  </si>
  <si>
    <t>Meter #4 DP High Range Tag</t>
  </si>
  <si>
    <t>Meter #4 Temperature Transmitter Tag</t>
  </si>
  <si>
    <t>Meter #4 Pressure Transmitter Tag</t>
  </si>
  <si>
    <t>Meter #4 Gravity/Density Transmitter Tag</t>
  </si>
  <si>
    <t>Meter #4 Density Temperature Transmitter Tag</t>
  </si>
  <si>
    <t>Meter #4 Density Pressure Transmitter Tag</t>
  </si>
  <si>
    <t>Meter #4 PID Output Tag</t>
  </si>
  <si>
    <t>Meter #4 Equimeter Warning or Alarm - Part 1</t>
  </si>
  <si>
    <t>Meter #4 Equimeter Warning or Alarm - Part 2</t>
  </si>
  <si>
    <t>Meter #4 Equimeter Warning or Alarm - Part 3</t>
  </si>
  <si>
    <t>Meter #4 Day Start Time</t>
  </si>
  <si>
    <t>Meter #4 Day Start Date</t>
  </si>
  <si>
    <t>Meter #4 DP Mid Range Tag</t>
  </si>
  <si>
    <t>Meter #4 Previous Batch 'n' Batch Start Date</t>
  </si>
  <si>
    <t>Meter #4 Previous Batch 'n' Batch Start Time</t>
  </si>
  <si>
    <t>Meter #4 Previous Batch 'n' Batch End Date</t>
  </si>
  <si>
    <t>Meter #4 Previous Batch 'n' Batch End Time</t>
  </si>
  <si>
    <t>Meter #4 Previous Batch 'n' Product Name</t>
  </si>
  <si>
    <t>Meter #4 Previous Batch 'n' Calculation Mode</t>
  </si>
  <si>
    <t>Meter #4 Previous Batch 'n' Batch ID (Chars 1 - 8)</t>
  </si>
  <si>
    <t>Meter #4 Previous Batch 'n' Batch ID (Chars 9 -16)</t>
  </si>
  <si>
    <t>Meter #4 Previous Batch 'n' MF Used in Net/Mass</t>
  </si>
  <si>
    <t>Meter #4 Previous Day Start Time</t>
  </si>
  <si>
    <t>Meter #4 Previous Day Start Date</t>
  </si>
  <si>
    <t>Meter #4 Previous Day End Time</t>
  </si>
  <si>
    <t>Meter #4 Previous Day End Date</t>
  </si>
  <si>
    <t>Scratchpad - ASCII String#1</t>
  </si>
  <si>
    <t>Scratchpad - ASCII String#2</t>
  </si>
  <si>
    <t>Scratchpad - ASCII String#3</t>
  </si>
  <si>
    <t>Scratchpad - ASCII String#4</t>
  </si>
  <si>
    <t>Scratchpad - ASCII String#5</t>
  </si>
  <si>
    <t>Scratchpad - ASCII String#6</t>
  </si>
  <si>
    <t>Scratchpad - ASCII String#7</t>
  </si>
  <si>
    <t>Scratchpad - ASCII String#8</t>
  </si>
  <si>
    <t>Scratchpad - ASCII String#9</t>
  </si>
  <si>
    <t>Scratchpad - ASCII String#10</t>
  </si>
  <si>
    <t>Scratchpad - ASCII String#11</t>
  </si>
  <si>
    <t>Scratchpad - ASCII String#12</t>
  </si>
  <si>
    <t>Scratchpad - ASCII String#13</t>
  </si>
  <si>
    <t>Scratchpad - ASCII String#14</t>
  </si>
  <si>
    <t>Scratchpad - ASCII String#15</t>
  </si>
  <si>
    <t>Scratchpad - ASCII String#16</t>
  </si>
  <si>
    <t>Current Date</t>
  </si>
  <si>
    <t>Current Time</t>
  </si>
  <si>
    <t>Software Version No</t>
  </si>
  <si>
    <t>Meter #1 Batch in Progress - Gross Total</t>
  </si>
  <si>
    <t>Meter Run #1 Batch In Progress Net (GSV) Totalizer</t>
  </si>
  <si>
    <t>Meter #1 Batch in Progress - Mass Total</t>
  </si>
  <si>
    <t>Meter #1 Batch in Progress - Energy/NSV Total</t>
  </si>
  <si>
    <t>Meter #1 Cumulative Gross Total</t>
  </si>
  <si>
    <t>Meter #1 Cumulative Net Total</t>
  </si>
  <si>
    <t>Meter #1 Cumulative Mass Total</t>
  </si>
  <si>
    <t>Meter #1 Cumulative Energy/NSV Total</t>
  </si>
  <si>
    <t>Meter #1 Daily Gross Total</t>
  </si>
  <si>
    <t>Meter #1 Daily Net Total</t>
  </si>
  <si>
    <t>Meter #1 Daily Mass Total</t>
  </si>
  <si>
    <t>Meter #1 Daily Energy/NSV Total</t>
  </si>
  <si>
    <t>Meter #1 Meter Factor</t>
  </si>
  <si>
    <t>Meter #1 Batch FWA/TWA Meter Factor</t>
  </si>
  <si>
    <t>Meter #1 Daily FWA/TWA Meter Factor</t>
  </si>
  <si>
    <t>Meter #1 Batch Preset Remaining</t>
  </si>
  <si>
    <t>Meter #1 Running Product Number</t>
  </si>
  <si>
    <t>Meter #1 Comparator Error Counts</t>
  </si>
  <si>
    <t>Meter #1 Batch Number</t>
  </si>
  <si>
    <t>Meter #1 VCF</t>
  </si>
  <si>
    <t>Meter #1 CPL</t>
  </si>
  <si>
    <t>Meter #1 Batch FWA/TWA VCF</t>
  </si>
  <si>
    <t>Meter #1 Batch FWA/TWA CPL</t>
  </si>
  <si>
    <t>Meter #1 Daily FWA/TWA VCF</t>
  </si>
  <si>
    <t>Meter #1 Daily FWA/TWA CPL</t>
  </si>
  <si>
    <t>Meter #1 Previous Batch 'n' Gross Total</t>
  </si>
  <si>
    <t>Meter #1 Previous Batch 'n' Net Total</t>
  </si>
  <si>
    <t>Meter #1 Previous Batch 'n' Mass Total</t>
  </si>
  <si>
    <t>Meter #1 Previous Batch 'n' Energy/NSV Total</t>
  </si>
  <si>
    <t>Meter #1 Previous Day's Gross Total</t>
  </si>
  <si>
    <t>Meter #1 Previous Day's Net Total</t>
  </si>
  <si>
    <t>Meter #1 Previous Day's Mass Total</t>
  </si>
  <si>
    <t>Meter #1 Previous Day's Energy/NSV Total</t>
  </si>
  <si>
    <t>Meter #1 Current Batch - Opening Gross Total</t>
  </si>
  <si>
    <t>Meter #1 Current Batch - Opening Net Total</t>
  </si>
  <si>
    <t>Meter #1 Current Batch - Opening Mass Total</t>
  </si>
  <si>
    <t>Meter #1 Current Batch - Opening Energy/NSV Total</t>
  </si>
  <si>
    <t>Meter #1 Today's Opening Gross Total</t>
  </si>
  <si>
    <t>Meter #1 Today's Opening Net Total</t>
  </si>
  <si>
    <t>Meter #1 Today's Opening Mass Total</t>
  </si>
  <si>
    <t>Meter #1 Today's Opening Energy/NSV Total</t>
  </si>
  <si>
    <t>Meter #1 Previous Hourly - Gross Total</t>
  </si>
  <si>
    <t>Meter #1 Previous Hourly - Net Total</t>
  </si>
  <si>
    <t>Meter #1 Previous Hourly - Mass Total</t>
  </si>
  <si>
    <t>Meter #1 Previous Hourly - Energy/NSV Total</t>
  </si>
  <si>
    <t>Meter #1 Prev Batch 'n' - Opening Gross Total</t>
  </si>
  <si>
    <t>Meter #1 Prev Batch 'n' - Opening Net Total</t>
  </si>
  <si>
    <t>Meter #1 Prev Batch 'n' - Opening Mass Total</t>
  </si>
  <si>
    <t>Meter #1 Prev Batch 'n' - Opening Energy/NSV Total</t>
  </si>
  <si>
    <t>Meter #1 Previous Day's - Opening Gross Total</t>
  </si>
  <si>
    <t>Meter #1 Previous Day's - Opening Net Total</t>
  </si>
  <si>
    <t>Meter #1 Previous Day's - Opening Mass Total</t>
  </si>
  <si>
    <t>Meter #1 Previous Day's - Opening Energy/NSV Total</t>
  </si>
  <si>
    <t>Meter #1 Prev Batch 'n' - Closing Gross Total</t>
  </si>
  <si>
    <t>Meter #1 Prev Batch 'n' - Closing Net Total</t>
  </si>
  <si>
    <t>Meter #1 Prev Batch 'n' - Closing Mass Total</t>
  </si>
  <si>
    <t>Meter #1 Prev Batch 'n' - Closing Energy/NSV Total</t>
  </si>
  <si>
    <t>Meter #1 Previous Batch 'n' - Batch Number</t>
  </si>
  <si>
    <t>Meter #1 Previous Batch 'n' - Product Number</t>
  </si>
  <si>
    <t>Meter #1 Maintenance Mode - Mass Total</t>
  </si>
  <si>
    <t>Meter #1 Maintenance Mode - Energy/NSV Total</t>
  </si>
  <si>
    <t>Meter #1 Batch Net @ 2nd Reference Temperature</t>
  </si>
  <si>
    <t>Meter #2 Batch in Progress - Gross Total</t>
  </si>
  <si>
    <t>Meter Run #2 Batch In Progress Net (GSV) Totalizer</t>
  </si>
  <si>
    <t>Meter #2 Batch in Progress - Mass Total</t>
  </si>
  <si>
    <t>Meter #2 Batch in Progress - Energy/NSV Total</t>
  </si>
  <si>
    <t>Meter #2 Cumulative Gross Total</t>
  </si>
  <si>
    <t>Meter #2 Cumulative Net Total</t>
  </si>
  <si>
    <t>Meter #2 Cumulative Mass Total</t>
  </si>
  <si>
    <t>Meter #2 Cumulative Energy/NSV Total</t>
  </si>
  <si>
    <t>Meter #2 Daily Gross Total</t>
  </si>
  <si>
    <t>Meter #2 Daily Net Total</t>
  </si>
  <si>
    <t>Meter #2 Daily Mass Total</t>
  </si>
  <si>
    <t>Meter #2 Daily Energy/NSV Total</t>
  </si>
  <si>
    <t>Meter #2 Meter Factor</t>
  </si>
  <si>
    <t>Meter #2 Batch FWA/TWA Meter Factor</t>
  </si>
  <si>
    <t>Meter #2 Daily FWA/TWA Meter Factor</t>
  </si>
  <si>
    <t>Meter #2 Batch Preset Remaining</t>
  </si>
  <si>
    <t>Meter #2 Running Product Number</t>
  </si>
  <si>
    <t>Meter #2 Comparator Error Counts</t>
  </si>
  <si>
    <t>Meter #2 Batch Number</t>
  </si>
  <si>
    <t>Meter #2 VCF</t>
  </si>
  <si>
    <t>Meter #2 CPL</t>
  </si>
  <si>
    <t>Meter #2 Batch FWA/TWA VCF</t>
  </si>
  <si>
    <t>Meter #2 Batch FWA/TWA CPL</t>
  </si>
  <si>
    <t>Meter #2 Previous Batch 'n' Gross Total</t>
  </si>
  <si>
    <t>Meter #2 Previous Batch 'n' Net Total</t>
  </si>
  <si>
    <t>Meter #2 Previous Batch 'n' Mass Total</t>
  </si>
  <si>
    <t>Meter #2 Previous Batch 'n' Energy/NSV Total</t>
  </si>
  <si>
    <t>Meter #2 Previous Day's Gross Total</t>
  </si>
  <si>
    <t>Meter #2 Previous Day's Net Total</t>
  </si>
  <si>
    <t>Meter #2 Previous Day's Mass Total</t>
  </si>
  <si>
    <t>Meter #2 Previous Day's Energy/NSV Total</t>
  </si>
  <si>
    <t>Meter #2 Current Batch - Opening Gross Total</t>
  </si>
  <si>
    <t>Meter #2 Current Batch - Opening Net Total</t>
  </si>
  <si>
    <t>Meter #2 Current Batch - Opening Mass Total</t>
  </si>
  <si>
    <t>Meter #2 Current Batch - Opening Energy/NSV Total</t>
  </si>
  <si>
    <t>Meter #2 Today's Opening Gross Total</t>
  </si>
  <si>
    <t>Meter #2 Today's Opening Net Total</t>
  </si>
  <si>
    <t>Meter #2 Today's Opening Mass Total</t>
  </si>
  <si>
    <t>Meter #2 Today's Opening Energy/NSV Total</t>
  </si>
  <si>
    <t>Meter #2 Previous Hourly - Gross Total</t>
  </si>
  <si>
    <t>Meter #2 Previous Hourly - Net Total</t>
  </si>
  <si>
    <t>Meter #2 Previous Hourly - Mass Total</t>
  </si>
  <si>
    <t>Meter #2 Previous Hourly - Energy/NSV Total</t>
  </si>
  <si>
    <t>Meter #2 Prev Batch 'n' - Opening Gross Total</t>
  </si>
  <si>
    <t>Meter #2 Prev Batch 'n' - Opening Net Total</t>
  </si>
  <si>
    <t>Meter #2 Prev Batch 'n' - Opening Mass Total</t>
  </si>
  <si>
    <t>Meter #2 Prev Batch 'n' - Opening Energy/NSV Total</t>
  </si>
  <si>
    <t>Meter #2 Previous Day's - Opening Gross Total</t>
  </si>
  <si>
    <t>Meter #2 Previous Day's - Opening Net Total</t>
  </si>
  <si>
    <t>Meter #2 Previous Day's - Opening Mass Total</t>
  </si>
  <si>
    <t>Meter #2 Previous Day's - Opening Energy/NSV Total</t>
  </si>
  <si>
    <t>Meter #2 Prev Batch 'n' - Closing Gross Total</t>
  </si>
  <si>
    <t>Meter #2 Prev Batch 'n' - Closing Net Total</t>
  </si>
  <si>
    <t>Meter #2 Prev Batch 'n' - Closing Mass Total</t>
  </si>
  <si>
    <t>Meter #2 Prev Batch 'n' - Closing Energy/NSV Total</t>
  </si>
  <si>
    <t>Meter #2 Previous Batch 'n' - Batch Number</t>
  </si>
  <si>
    <t>Meter #2 Previous Batch 'n' - Product Number</t>
  </si>
  <si>
    <t>Meter #2 Maintenance Mode - Mass Total</t>
  </si>
  <si>
    <t>Meter #2 Maintenance Mode - Energy/NSV Total</t>
  </si>
  <si>
    <t>Meter #2 Batch Net @ 2nd Reference Temperature</t>
  </si>
  <si>
    <t>Meter #3 Batch in Progress - Gross Total</t>
  </si>
  <si>
    <t>Meter Run #3 Batch In Progress Net (GSV) Totalizer</t>
  </si>
  <si>
    <t>Meter #3 Batch in Progress - Mass Total</t>
  </si>
  <si>
    <t>Meter #3 Batch in Progress - Energy/NSV Total</t>
  </si>
  <si>
    <t>Meter #3 Cumulative Gross Total</t>
  </si>
  <si>
    <t>Meter #3 Cumulative Net Total</t>
  </si>
  <si>
    <t>Meter #3 Cumulative Mass Total</t>
  </si>
  <si>
    <t>Meter #3 Cumulative Energy/NSV Total</t>
  </si>
  <si>
    <t>Meter #3 Daily Gross Total</t>
  </si>
  <si>
    <t>Meter #3 Daily Net Total</t>
  </si>
  <si>
    <t>Meter #3 Daily Mass Total</t>
  </si>
  <si>
    <t>Meter #3 Daily Energy/NSV Total</t>
  </si>
  <si>
    <t>Meter #3 Meter Factor</t>
  </si>
  <si>
    <t>Meter #3 Batch FWA/TWA Meter Factor</t>
  </si>
  <si>
    <t>Meter #3 Daily FWA/TWA Meter Factor</t>
  </si>
  <si>
    <t>Meter #3 Batch Preset Remaining</t>
  </si>
  <si>
    <t>Meter #3 Running Product Number</t>
  </si>
  <si>
    <t>Meter #3 Comparator Error Counts</t>
  </si>
  <si>
    <t>Meter #3 Batch Number</t>
  </si>
  <si>
    <t>Meter #3 VCF</t>
  </si>
  <si>
    <t>Meter #3 CPL</t>
  </si>
  <si>
    <t>Meter #3 Batch FWA/TWA VCF</t>
  </si>
  <si>
    <t>Meter #3 Batch FWA/TWA CPL</t>
  </si>
  <si>
    <t>Meter #3 Previous Batch 'n' Gross Total</t>
  </si>
  <si>
    <t>Meter #3 Previous Batch 'n' Net Total</t>
  </si>
  <si>
    <t>Meter #3 Previous Batch 'n' Mass Total</t>
  </si>
  <si>
    <t>Meter #3 Previous Batch 'n' Energy/NSV Total</t>
  </si>
  <si>
    <t>Meter #3 Previous Day's Gross Total</t>
  </si>
  <si>
    <t>Meter #3 Previous Day's Net Total</t>
  </si>
  <si>
    <t>Meter #3 Previous Day's Mass Total</t>
  </si>
  <si>
    <t>Meter #3 Previous Day's Energy/NSV Total</t>
  </si>
  <si>
    <t>Meter #3 Current Batch - Opening Gross Total</t>
  </si>
  <si>
    <t>Meter #3 Current Batch - Opening Net Total</t>
  </si>
  <si>
    <t>Meter #3 Current Batch - Opening Mass Total</t>
  </si>
  <si>
    <t>Meter #3 Current Batch - Opening Energy/NSV Total</t>
  </si>
  <si>
    <t>Meter #3 Today's Opening Gross Total</t>
  </si>
  <si>
    <t>Meter #3 Today's Opening Net Total</t>
  </si>
  <si>
    <t>Meter #3 Today's Opening Mass Total</t>
  </si>
  <si>
    <t>Meter #3 Today's Opening Energy/NSV Total</t>
  </si>
  <si>
    <t>Meter #3 Previous Hourly - Net Total</t>
  </si>
  <si>
    <t>Meter #3 Previous Hourly - Mass Total</t>
  </si>
  <si>
    <t>Meter #3 Previous Hourly - Energy/NSV Total</t>
  </si>
  <si>
    <t>Meter #3 Prev Batch 'n' - Opening Gross Total</t>
  </si>
  <si>
    <t>Meter #3 Prev Batch 'n' - Opening Net Total</t>
  </si>
  <si>
    <t>Meter #3 Prev Batch 'n' - Opening Mass Total</t>
  </si>
  <si>
    <t>Meter #3 Prev Batch 'n' - Opening Energy/NSV Total</t>
  </si>
  <si>
    <t>Meter #3 Previous Day's - Opening Gross Total</t>
  </si>
  <si>
    <t>Meter #3 Previous Day's - Opening Net Total</t>
  </si>
  <si>
    <t>Meter #3 Previous Day's - Opening Mass Total</t>
  </si>
  <si>
    <t>Meter #3 Previous Day's - Opening Energy/NSV Total</t>
  </si>
  <si>
    <t>Meter #3 Prev Batch 'n' - Closing Gross Total</t>
  </si>
  <si>
    <t>Meter #3 Prev Batch 'n' - Closing Net Total</t>
  </si>
  <si>
    <t>Meter #3 Prev Batch 'n' - Closing Mass Total</t>
  </si>
  <si>
    <t>Meter #3 Prev Batch 'n' - Closing Energy/NSV Total</t>
  </si>
  <si>
    <t>Meter #3 Previous Batch 'n' - Batch Number</t>
  </si>
  <si>
    <t>Meter #3 Previous Batch 'n' - Product Number</t>
  </si>
  <si>
    <t>Meter #3 Maintenance Mode - Mass Total</t>
  </si>
  <si>
    <t>Meter #3 Maintenance Mode - Energy/NSV Total</t>
  </si>
  <si>
    <t>Meter #3 Batch Net @ 2nd Reference Temperature</t>
  </si>
  <si>
    <t>Scratchpad - 32-Bit Integer #1</t>
  </si>
  <si>
    <t>Scratchpad - 32-Bit Integer #2</t>
  </si>
  <si>
    <t>Scratchpad - 32-Bit Integer #3</t>
  </si>
  <si>
    <t>Scratchpad - 32-Bit Integer #4</t>
  </si>
  <si>
    <t>Scratchpad - 32-Bit Integer #5</t>
  </si>
  <si>
    <t>Scratchpad - 32-Bit Integer #6</t>
  </si>
  <si>
    <t>Scratchpad - 32-Bit Integer #7</t>
  </si>
  <si>
    <t>Scratchpad - 32-Bit Integer #8</t>
  </si>
  <si>
    <t>Scratchpad - 32-Bit Integer #9</t>
  </si>
  <si>
    <t>Scratchpad - 32-Bit Integer #10</t>
  </si>
  <si>
    <t>Scratchpad - 32-Bit Integer #11</t>
  </si>
  <si>
    <t>Scratchpad - 32-Bit Integer #12</t>
  </si>
  <si>
    <t>Scratchpad - 32-Bit Integer #13</t>
  </si>
  <si>
    <t>Scratchpad - 32-Bit Integer #14</t>
  </si>
  <si>
    <t>Scratchpad - 32-Bit Integer #15</t>
  </si>
  <si>
    <t>Scratchpad - 32-Bit Integer #16</t>
  </si>
  <si>
    <t>Scratchpad - 32-Bit Integer #17</t>
  </si>
  <si>
    <t>Scratchpad - 32-Bit Integer #18</t>
  </si>
  <si>
    <t>Scratchpad - 32-Bit Integer #19</t>
  </si>
  <si>
    <t>Scratchpad - 32-Bit Integer #20</t>
  </si>
  <si>
    <t>Scratchpad - 32-Bit Integer #21</t>
  </si>
  <si>
    <t>Scratchpad - 32-Bit Integer #22</t>
  </si>
  <si>
    <t>Scratchpad - 32-Bit Integer #23</t>
  </si>
  <si>
    <t>Scratchpad - 32-Bit Integer #24</t>
  </si>
  <si>
    <t>Scratchpad - 32-Bit Integer #25</t>
  </si>
  <si>
    <t>Scratchpad - 32-Bit Integer #26</t>
  </si>
  <si>
    <t>Scratchpad - 32-Bit Integer #27</t>
  </si>
  <si>
    <t>Scratchpad - 32-Bit Integer #28</t>
  </si>
  <si>
    <t>Scratchpad - 32-Bit Integer #32</t>
  </si>
  <si>
    <t>Scratchpad - 32-Bit Integer #41</t>
  </si>
  <si>
    <t>Scratchpad - 32-Bit Integer #42</t>
  </si>
  <si>
    <t>Scratchpad - 32-Bit Integer #43</t>
  </si>
  <si>
    <t>Scratchpad - 32-Bit Integer #44</t>
  </si>
  <si>
    <t>Scratchpad - 32-Bit Integer #52</t>
  </si>
  <si>
    <t>Scratchpad - 32-Bit Integer #55</t>
  </si>
  <si>
    <t>Scratchpad - 32-Bit Integer #56</t>
  </si>
  <si>
    <t>Scratchpad - 32-Bit Integer #58</t>
  </si>
  <si>
    <t>Scratchpad - 32-Bit Integer #60</t>
  </si>
  <si>
    <t>Scratchpad - 32-Bit Integer #61</t>
  </si>
  <si>
    <t>Scratchpad - 32-Bit Integer #62</t>
  </si>
  <si>
    <t>Scratchpad - 32-Bit Integer #63</t>
  </si>
  <si>
    <t>Scratchpad - 32-Bit Integer #64</t>
  </si>
  <si>
    <t>Scratchpad - 32-Bit Integer #72</t>
  </si>
  <si>
    <t>Scratchpad - 32-Bit Integer #95</t>
  </si>
  <si>
    <t>Scratchpad - 32-Bit Integer #96</t>
  </si>
  <si>
    <t>Scratchpad - 32-Bit Integer #97</t>
  </si>
  <si>
    <t>Scratchpad - 32-Bit Integer #98</t>
  </si>
  <si>
    <t>Station Daily Gross Total</t>
  </si>
  <si>
    <t>Station Daily Net Total</t>
  </si>
  <si>
    <t>Station Daily Mass Total</t>
  </si>
  <si>
    <t>Meter Run #1 Flow Rate - Gross (IV)</t>
  </si>
  <si>
    <t>Meter Run #1 Flow Rate - Net (GSV)</t>
  </si>
  <si>
    <t>Meter Run #1 Flow Rate - Mass</t>
  </si>
  <si>
    <t>Meter #1 Energy Flowrate</t>
  </si>
  <si>
    <t>Meter #1 Temperature</t>
  </si>
  <si>
    <t>Meter #1 Pressure</t>
  </si>
  <si>
    <t>Meter #1 Propylene/Ethylene or Density in Use</t>
  </si>
  <si>
    <t>Meter #1 Unfactored Density</t>
  </si>
  <si>
    <t>Meter #1 Flowing Density</t>
  </si>
  <si>
    <t>Meter #1 Density Temperature</t>
  </si>
  <si>
    <t>Meter #1 Density Pressure</t>
  </si>
  <si>
    <t>Meter #1 API Flowing</t>
  </si>
  <si>
    <t>Meter #1 API @60 / API @ Ref. Temperature</t>
  </si>
  <si>
    <t>Meter #1 SG Flowing</t>
  </si>
  <si>
    <t>Meter #1 SG @60 Deg.F/DENS@15 Deg.C</t>
  </si>
  <si>
    <t>Meter #1 Current Batch Average Temperature</t>
  </si>
  <si>
    <t>Meter #1 Current Batch Average Pressure</t>
  </si>
  <si>
    <t>Meter #1 Current Batch Avg Density</t>
  </si>
  <si>
    <t>Meter #1 Current Batch Average Density Temperature</t>
  </si>
  <si>
    <t>Meter #1 Current Batch Average Density Pressure</t>
  </si>
  <si>
    <t>Meter #1 Current Batch Average API Flowing</t>
  </si>
  <si>
    <t>Meter #1 Current Batch Average API60/API @ Ref T</t>
  </si>
  <si>
    <t>Meter #1 Current Batch Average SG Flowing</t>
  </si>
  <si>
    <t>Meter #1 Current Batch Average SG60/Density@ Ref.T</t>
  </si>
  <si>
    <t>Meter #1 Current Batch Average VCF</t>
  </si>
  <si>
    <t>Meter #1 Current Batch Average CPL</t>
  </si>
  <si>
    <t>Meter #1 Daily Average Temperature</t>
  </si>
  <si>
    <t>Meter #1 Daily Average Pressure</t>
  </si>
  <si>
    <t>Meter #1 Daily Average Density</t>
  </si>
  <si>
    <t>Meter #1 Daily Average Density Temperature</t>
  </si>
  <si>
    <t>Meter #1 Daily Average Density Pressure</t>
  </si>
  <si>
    <t>Meter #1 Daily Average API Flowing</t>
  </si>
  <si>
    <t>Meter #1 Daily Average API60/API @ Ref.T</t>
  </si>
  <si>
    <t>Meter #1 Daily Average SG Flowing</t>
  </si>
  <si>
    <t>Meter #1 Daily Average SG60/Density @ Ref.T</t>
  </si>
  <si>
    <t>Meter #1 Daily Average VCF</t>
  </si>
  <si>
    <t>Meter #1 Daily Average CPL</t>
  </si>
  <si>
    <t>Meter #1 Current K Factor</t>
  </si>
  <si>
    <t>Meter #1 Current Batch FWA K Factor</t>
  </si>
  <si>
    <t>Meter #1 Daily FWA K Factor</t>
  </si>
  <si>
    <t>Meter #1 Densitometer Factor in Use</t>
  </si>
  <si>
    <t>Meter #1 Densitometer Factor - B</t>
  </si>
  <si>
    <t>Meter #1 Reference Orifice Diameter</t>
  </si>
  <si>
    <t>Meter #1 Orifice Diameter Coefficient</t>
  </si>
  <si>
    <t>Meter #1 Orifice Reference Temperature</t>
  </si>
  <si>
    <t>Meter #1 Reference Pipe Diameter</t>
  </si>
  <si>
    <t>Meter #1 Pipe Diameter Coefficient</t>
  </si>
  <si>
    <t>Meter #1 Pipe Reference Temperature</t>
  </si>
  <si>
    <t>Meter #1 DP Low Cutoff</t>
  </si>
  <si>
    <t>Meter #1 DP Low Limit</t>
  </si>
  <si>
    <t>Meter #1 DP High Limit</t>
  </si>
  <si>
    <t>Meter #1 DP Override Value</t>
  </si>
  <si>
    <t>Meter #1 DP Low Range @ 4 mA</t>
  </si>
  <si>
    <t>Meter #1 DP Low Range @ 20mA</t>
  </si>
  <si>
    <t>Meter #1 DP High Range @ 4 mA</t>
  </si>
  <si>
    <t>Meter #1 DP High Range @ 20mA</t>
  </si>
  <si>
    <t>Meter #1 DP Switch High %</t>
  </si>
  <si>
    <t>Meter #1 DP Switch Low %</t>
  </si>
  <si>
    <t>Meter #1 Flowrate Lo-Lim</t>
  </si>
  <si>
    <t>Meter #1 Flowrate Hi-Lim</t>
  </si>
  <si>
    <t>Meter #1 Temp Lo-Lim</t>
  </si>
  <si>
    <t>Meter #1 Temp Hi-Lim</t>
  </si>
  <si>
    <t>Meter #1 Temp Override</t>
  </si>
  <si>
    <t>Meter #1 Temp @ 4 mA</t>
  </si>
  <si>
    <t>Meter #1 Temp @ 20mA</t>
  </si>
  <si>
    <t>Meter #1 Press Lo-Lim</t>
  </si>
  <si>
    <t>Meter #1 Press Hi-Lim</t>
  </si>
  <si>
    <t>Meter #1 Press Override</t>
  </si>
  <si>
    <t>Meter #1 Press @ 4 mA</t>
  </si>
  <si>
    <t>Meter #1 Press @ 20mA</t>
  </si>
  <si>
    <t>Meter #1 Gravity/Density Lo-Lim</t>
  </si>
  <si>
    <t>Meter #1 Gravity/Density Hi-Lim</t>
  </si>
  <si>
    <t>Meter #1 Gravity/Density Override</t>
  </si>
  <si>
    <t>Meter #1 Gravity/Density @ 4 mA</t>
  </si>
  <si>
    <t>Meter #1 Gravity/Density @ 20mA</t>
  </si>
  <si>
    <t>Meter #1 Density Temp Lo-Limit</t>
  </si>
  <si>
    <t>Meter #1 Density Temp Hi-Limit</t>
  </si>
  <si>
    <t>Meter #1 Density Temp Override</t>
  </si>
  <si>
    <t>Meter #1 Density Temp @ 4 mA</t>
  </si>
  <si>
    <t>Meter #1 Density Temp @ 20mA</t>
  </si>
  <si>
    <t>Meter #1 Density Pres Lo-Limit</t>
  </si>
  <si>
    <t>Meter #1 Density Pres Hi-Limit</t>
  </si>
  <si>
    <t>Meter #1 Density Pres Override</t>
  </si>
  <si>
    <t>Meter #1 Density Pres @ 4 mA</t>
  </si>
  <si>
    <t>Meter #1 Density Pres @ 20mA</t>
  </si>
  <si>
    <t>Meter #1 Density Correction Factor A</t>
  </si>
  <si>
    <t>Meter #1 Dens Const #1 (K0/K0/D0/K0)</t>
  </si>
  <si>
    <t>Meter Run #2 Flow Rate - Gross (IV)</t>
  </si>
  <si>
    <t>Meter Run #2 Flow Rate - Net (GSV)</t>
  </si>
  <si>
    <t>Meter Run #2 Flow Rate - Mass</t>
  </si>
  <si>
    <t>Meter #2 Energy Flowrate</t>
  </si>
  <si>
    <t>Meter #2 Temperature</t>
  </si>
  <si>
    <t>Meter #2 Pressure</t>
  </si>
  <si>
    <t>Meter #2 Propylene/Ethylene or Density in Use</t>
  </si>
  <si>
    <t>Meter #2 Unfactored Density</t>
  </si>
  <si>
    <t>Meter #2 Flowing Density</t>
  </si>
  <si>
    <t>Meter #2 Density Temperature</t>
  </si>
  <si>
    <t>Meter #2 Density Pressure</t>
  </si>
  <si>
    <t>Meter #2 API Flowing</t>
  </si>
  <si>
    <t>Meter #2 API @60 / API @ Ref. Temperature</t>
  </si>
  <si>
    <t>Meter #2 SG Flowing</t>
  </si>
  <si>
    <t>Meter #2 SG @60 Deg.F/DENS@15 Deg.C</t>
  </si>
  <si>
    <t>Meter #2 Current Batch Average Temperature</t>
  </si>
  <si>
    <t>Meter #2 Current Batch Average Pressure</t>
  </si>
  <si>
    <t>Meter #2 Current Batch Avg Density</t>
  </si>
  <si>
    <t>Meter #2 Current Batch Average Density Temperature</t>
  </si>
  <si>
    <t>Meter #2 Current Batch Average Density Pressure</t>
  </si>
  <si>
    <t>Meter #2 Current Batch Average API Flowing</t>
  </si>
  <si>
    <t>Meter #2 Current Batch Average API60/API @ Ref T</t>
  </si>
  <si>
    <t>Meter #2 Current Batch Average SG Flowing</t>
  </si>
  <si>
    <t>Meter #2 Current Batch Average SG60/Density@ Ref.T</t>
  </si>
  <si>
    <t>Meter #2 Current Batch Average VCF</t>
  </si>
  <si>
    <t>Meter #2 Current Batch Average CPL</t>
  </si>
  <si>
    <t>Meter #2 Daily Average Temperature</t>
  </si>
  <si>
    <t>Meter #2 Daily Average Pressure</t>
  </si>
  <si>
    <t>Meter #2 Daily Average Density</t>
  </si>
  <si>
    <t>Meter #2 Daily Average Density Temperature</t>
  </si>
  <si>
    <t>Meter #2 Daily Average Density Pressure</t>
  </si>
  <si>
    <t>Meter #2 Daily Average API Flowing</t>
  </si>
  <si>
    <t>Meter #2 Daily Average API60/API @ Ref.T</t>
  </si>
  <si>
    <t>Meter #2 Daily Average SG Flowing</t>
  </si>
  <si>
    <t>Meter #2 Daily Average SG60/Density @ Ref.T</t>
  </si>
  <si>
    <t>Meter #2 Daily Average VCF</t>
  </si>
  <si>
    <t>Meter #2 Daily Average CPL</t>
  </si>
  <si>
    <t>Meter #2 Current K Factor</t>
  </si>
  <si>
    <t>Meter #2 Current Batch FWA K Factor</t>
  </si>
  <si>
    <t>Meter #2 Daily FWA K Factor</t>
  </si>
  <si>
    <t>Meter #2 Densitometer Factor in Use</t>
  </si>
  <si>
    <t>Meter #2 Densitometer Factor - B</t>
  </si>
  <si>
    <t>Meter #2 Reference Orifice Diameter</t>
  </si>
  <si>
    <t>Meter #2 Orifice Diameter Coefficient</t>
  </si>
  <si>
    <t>Meter #2 Orifice Reference Temperature</t>
  </si>
  <si>
    <t>Meter #2 Reference Pipe Diameter</t>
  </si>
  <si>
    <t>Meter #2 Pipe Diameter Coefficient</t>
  </si>
  <si>
    <t>Meter #2 Pipe Reference Temperature</t>
  </si>
  <si>
    <t>Meter #2 DP Low Cutoff</t>
  </si>
  <si>
    <t>Meter #2 DP Low Limit</t>
  </si>
  <si>
    <t>Meter #2 DP High Limit</t>
  </si>
  <si>
    <t>Meter #2 DP Override Value</t>
  </si>
  <si>
    <t>Meter #2 DP Low Range @ 4 mA</t>
  </si>
  <si>
    <t>Meter #2 DP Low Range @ 20mA</t>
  </si>
  <si>
    <t>Meter #2 DP High Range @ 4 mA</t>
  </si>
  <si>
    <t>Meter #2 DP High Range @ 20mA</t>
  </si>
  <si>
    <t>Meter #2 DP Switch High %</t>
  </si>
  <si>
    <t>Meter #2 DP Switch Low %</t>
  </si>
  <si>
    <t>Meter #2 Flowrate Lo-Lim</t>
  </si>
  <si>
    <t>Meter #2 Flowrate Hi-Lim</t>
  </si>
  <si>
    <t>Meter #2 Temp Lo-Lim</t>
  </si>
  <si>
    <t>Meter #2 Temp Hi-Lim</t>
  </si>
  <si>
    <t>Meter #2 Temp Override</t>
  </si>
  <si>
    <t>Meter #2 Temp @ 4 mA</t>
  </si>
  <si>
    <t>Meter #2 Temp @ 20mA</t>
  </si>
  <si>
    <t>Meter #2 Press Lo-Lim</t>
  </si>
  <si>
    <t>Meter #2 Press Hi-Lim</t>
  </si>
  <si>
    <t>Meter #2 Press Override</t>
  </si>
  <si>
    <t>Meter #2 Press @ 4 mA</t>
  </si>
  <si>
    <t>Meter #2 Press @ 20mA</t>
  </si>
  <si>
    <t>Meter #2 Gravity/Density Lo-Lim</t>
  </si>
  <si>
    <t>Meter #2 Gravity/Density Hi-Lim</t>
  </si>
  <si>
    <t>Meter #2 Gravity/Density Override</t>
  </si>
  <si>
    <t>Meter #2 Gravity/Density @ 4 mA</t>
  </si>
  <si>
    <t>Meter #2 Gravity/Density @ 20mA</t>
  </si>
  <si>
    <t>Meter #2 Density Temp Lo-Limit</t>
  </si>
  <si>
    <t>Meter #2 Density Temp Hi-Limit</t>
  </si>
  <si>
    <t>Meter #2 Density Temp Override</t>
  </si>
  <si>
    <t>Meter #2 Density Temp @ 4 mA</t>
  </si>
  <si>
    <t>Meter #2 Density Temp @ 20mA</t>
  </si>
  <si>
    <t>Meter #2 Density Pres Lo-Limit</t>
  </si>
  <si>
    <t>Meter #2 Density Pres Hi-Limit</t>
  </si>
  <si>
    <t>Meter #2 Density Pres Override</t>
  </si>
  <si>
    <t>Meter #2 Density Pres @ 4 mA</t>
  </si>
  <si>
    <t>Meter #2 Density Pres @ 20mA</t>
  </si>
  <si>
    <t>Meter #2 Density Correction Factor A</t>
  </si>
  <si>
    <t>Meter #2 Dens Const #2 (K0/K0/D0/K0)</t>
  </si>
  <si>
    <t>Meter Run #3 Flow Rate - Gross (IV)</t>
  </si>
  <si>
    <t>Meter Run #3 Flow Rate - Net (GSV)</t>
  </si>
  <si>
    <t>Meter Run #3 Flow Rate - Mass</t>
  </si>
  <si>
    <t>Meter #3 Energy Flowrate</t>
  </si>
  <si>
    <t>Meter #3 Temperature</t>
  </si>
  <si>
    <t>Meter #3 Pressure</t>
  </si>
  <si>
    <t>Meter #3 Propylene/Ethylene or Density in Use</t>
  </si>
  <si>
    <t>Meter #3 Unfactored Density</t>
  </si>
  <si>
    <t>Meter #3 Flowing Density</t>
  </si>
  <si>
    <t>Meter #3 Density Temperature</t>
  </si>
  <si>
    <t>Meter #3 Density Pressure</t>
  </si>
  <si>
    <t>Meter #3 API Flowing</t>
  </si>
  <si>
    <t>Meter #3 API @60 / API @ Ref. Temperature</t>
  </si>
  <si>
    <t>Meter #3 SG Flowing</t>
  </si>
  <si>
    <t>Meter #3 SG @60 Deg.F/DENS@15 Deg.C</t>
  </si>
  <si>
    <t>Meter #3 Current Batch Average Temperature</t>
  </si>
  <si>
    <t>Meter #3 Current Batch Average Pressure</t>
  </si>
  <si>
    <t>Meter #3 Current Batch Avg Density</t>
  </si>
  <si>
    <t>Meter #3 Current Batch Average Density Temperature</t>
  </si>
  <si>
    <t>Meter #3 Current Batch Average Density Pressure</t>
  </si>
  <si>
    <t>Meter #3 Current Batch Average API Flowing</t>
  </si>
  <si>
    <t>Meter #3 Current Batch Average API60/API @ Ref T</t>
  </si>
  <si>
    <t>Meter #3 Current Batch Average SG Flowing</t>
  </si>
  <si>
    <t>Meter #3 Current Batch Average SG60/Density@ Ref.T</t>
  </si>
  <si>
    <t>Meter #3 Current Batch Average VCF</t>
  </si>
  <si>
    <t>Meter #3 Current Batch Average CPL</t>
  </si>
  <si>
    <t>Meter #3 Daily Average Temperature</t>
  </si>
  <si>
    <t>Meter #3 Daily Average Pressure</t>
  </si>
  <si>
    <t>Meter #3 Daily Average Density</t>
  </si>
  <si>
    <t>Meter #3 Daily Average Density Temperature</t>
  </si>
  <si>
    <t>Meter #3 Daily Average Density Pressure</t>
  </si>
  <si>
    <t>Meter #3 Daily Average API Flowing</t>
  </si>
  <si>
    <t>Meter #3 Daily Average API60/API @ Ref.T</t>
  </si>
  <si>
    <t>Meter #3 Daily Average SG Flowing</t>
  </si>
  <si>
    <t>Meter #3 Daily Average SG60/Density @ Ref.T</t>
  </si>
  <si>
    <t>Meter #3 Daily Average VCF</t>
  </si>
  <si>
    <t>Meter #3 Daily Average CPL</t>
  </si>
  <si>
    <t>Meter #3 Current K Factor</t>
  </si>
  <si>
    <t>Meter #3 Current Batch FWA K Factor</t>
  </si>
  <si>
    <t>Meter #3 Daily FWA K Factor</t>
  </si>
  <si>
    <t>Meter #3 Densitometer Factor in Use</t>
  </si>
  <si>
    <t>Meter #3 Densitometer Factor - B</t>
  </si>
  <si>
    <t>Meter #3 Reference Orifice Diameter</t>
  </si>
  <si>
    <t>Meter #3 Orifice Diameter Coefficient</t>
  </si>
  <si>
    <t>Meter #3 Orifice Reference Temperature</t>
  </si>
  <si>
    <t>Meter #3 Reference Pipe Diameter</t>
  </si>
  <si>
    <t>Meter #3 Pipe Diameter Coefficient</t>
  </si>
  <si>
    <t>Meter #3 Pipe Reference Temperature</t>
  </si>
  <si>
    <t>Meter #3 DP Low Cutoff</t>
  </si>
  <si>
    <t>Meter #3 DP Low Limit</t>
  </si>
  <si>
    <t>Meter #3 DP High Limit</t>
  </si>
  <si>
    <t>Meter #3 DP Override Value</t>
  </si>
  <si>
    <t>Meter #3 DP Low Range @ 4 mA</t>
  </si>
  <si>
    <t>Meter #3 DP Low Range @ 20mA</t>
  </si>
  <si>
    <t>Meter #3 DP High Range @ 4 mA</t>
  </si>
  <si>
    <t>Meter #3 DP High Range @ 20mA</t>
  </si>
  <si>
    <t>Meter #3 DP Switch High %</t>
  </si>
  <si>
    <t>Meter #3 DP Switch Low %</t>
  </si>
  <si>
    <t>Meter #3 Flowrate Lo-Lim</t>
  </si>
  <si>
    <t>Meter #3 Flowrate Hi-Lim</t>
  </si>
  <si>
    <t>Meter #3 Temp Lo-Lim</t>
  </si>
  <si>
    <t>Meter #3 Temp Hi-Lim</t>
  </si>
  <si>
    <t>Meter #3 Temp Override</t>
  </si>
  <si>
    <t>Meter #3 Temp @ 4 mA</t>
  </si>
  <si>
    <t>Meter #3 Temp @ 20mA</t>
  </si>
  <si>
    <t>Meter #3 Press Lo-Lim</t>
  </si>
  <si>
    <t>Meter #3 Press Hi-Lim</t>
  </si>
  <si>
    <t>Meter #3 Press Override</t>
  </si>
  <si>
    <t>Meter #3 Press @ 4 mA</t>
  </si>
  <si>
    <t>Meter #3 Press @ 20mA</t>
  </si>
  <si>
    <t>Meter #3 Gravity/Density Lo-Lim</t>
  </si>
  <si>
    <t>Meter #3 Gravity/Density Hi-Lim</t>
  </si>
  <si>
    <t>Meter #3 Gravity/Density Override</t>
  </si>
  <si>
    <t>Meter #3 Gravity/Density @ 4 mA</t>
  </si>
  <si>
    <t>Meter #3 Gravity/Density @ 20mA</t>
  </si>
  <si>
    <t>Meter #3 Density Temp Lo-Limit</t>
  </si>
  <si>
    <t>Meter #3 Density Temp Hi-Limit</t>
  </si>
  <si>
    <t>Meter #3 Density Temp Override</t>
  </si>
  <si>
    <t>Meter #3 Density Temp @ 4 mA</t>
  </si>
  <si>
    <t>Meter #3 Density Temp @ 20mA</t>
  </si>
  <si>
    <t>Meter #3 Density Pres Lo-Limit</t>
  </si>
  <si>
    <t>Meter #3 Density Pres Hi-Limit</t>
  </si>
  <si>
    <t>Meter #3 Density Pres Override</t>
  </si>
  <si>
    <t>Meter #3 Density Pres @ 4 mA</t>
  </si>
  <si>
    <t>Meter #3 Density Pres @ 20mA</t>
  </si>
  <si>
    <t>Meter #3 Density Correction Factor A</t>
  </si>
  <si>
    <t>Meter #3 Dens Const #3 (K0/K0/D0/K0)</t>
  </si>
  <si>
    <t>Meter Run #4 Flow Rate - Gross (IV)</t>
  </si>
  <si>
    <t>Meter Run #4 Flow Rate - Net (GSV)</t>
  </si>
  <si>
    <t>Meter Run #4 Flow Rate - Mass</t>
  </si>
  <si>
    <t>Meter #4 Energy Flowrate</t>
  </si>
  <si>
    <t>Meter #4 Temperature</t>
  </si>
  <si>
    <t>Meter #4 Pressure</t>
  </si>
  <si>
    <t>Meter #4 Propylene/Ethylene or Density in Use</t>
  </si>
  <si>
    <t>Meter #4 Unfactored Density</t>
  </si>
  <si>
    <t>Meter #4 Flowing Density</t>
  </si>
  <si>
    <t>Meter #4 Density Temperature</t>
  </si>
  <si>
    <t>Meter #4 Density Pressure</t>
  </si>
  <si>
    <t>Meter #4 API Flowing</t>
  </si>
  <si>
    <t>Meter #4 API @60 / API @ Ref. Temperature</t>
  </si>
  <si>
    <t>Meter #4 SG Flowing</t>
  </si>
  <si>
    <t>Meter #4 SG @60 Deg.F/DENS@15 Deg.C</t>
  </si>
  <si>
    <t>Meter #4 VCF</t>
  </si>
  <si>
    <t>Meter #4 CPL</t>
  </si>
  <si>
    <t>Meter #4 Current Batch Average Temperature</t>
  </si>
  <si>
    <t>Meter #4 Current Batch Average Pressure</t>
  </si>
  <si>
    <t>Meter #4 Current Batch Avg Density</t>
  </si>
  <si>
    <t>Meter #4 Current Batch Average Density Temperature</t>
  </si>
  <si>
    <t>Meter #4 Current Batch Average Density Pressure</t>
  </si>
  <si>
    <t>Meter #4 Current Batch Average API Flowing</t>
  </si>
  <si>
    <t>Meter #4 Current Batch Average API60/API @ Ref T</t>
  </si>
  <si>
    <t>Meter #4 Current Batch Average SG Flowing</t>
  </si>
  <si>
    <t>Meter #4 Current Batch Average SG60/Density@ Ref.T</t>
  </si>
  <si>
    <t>Meter #4 Current Batch Average VCF</t>
  </si>
  <si>
    <t>Meter #4 Current Batch Average CPL</t>
  </si>
  <si>
    <t>Meter #4 Daily Average Temperature</t>
  </si>
  <si>
    <t>Meter #4 Daily Average Pressure</t>
  </si>
  <si>
    <t>Meter #4 Daily Average Density</t>
  </si>
  <si>
    <t>Meter #4 Daily Average Density Temperature</t>
  </si>
  <si>
    <t>Meter #4 Daily Average Density Pressure</t>
  </si>
  <si>
    <t>Meter #4 Daily Average API Flowing</t>
  </si>
  <si>
    <t>Meter #4 Daily Average API60/API @ Ref.T</t>
  </si>
  <si>
    <t>Meter #4 Daily Average SG Flowing</t>
  </si>
  <si>
    <t>Meter #4 Daily Average SG60/Density @ Ref.T</t>
  </si>
  <si>
    <t>Meter #4 Daily Average VCF</t>
  </si>
  <si>
    <t>Meter #4 Daily Average CPL</t>
  </si>
  <si>
    <t>Meter #4 Current K Factor</t>
  </si>
  <si>
    <t>Meter #4 Current Batch FWA K Factor</t>
  </si>
  <si>
    <t>Meter #4 Daily FWA K Factor</t>
  </si>
  <si>
    <t>Meter #4 Densitometer Factor in Use</t>
  </si>
  <si>
    <t>Meter #4 Densitometer Factor - B</t>
  </si>
  <si>
    <t>Meter #4 Reference Orifice Diameter</t>
  </si>
  <si>
    <t>Meter #4 Orifice Diameter Coefficient</t>
  </si>
  <si>
    <t>Meter #4 Orifice Reference Temperature</t>
  </si>
  <si>
    <t>Meter #4 Reference Pipe Diameter</t>
  </si>
  <si>
    <t>Meter #4 Pipe Diameter Coefficient</t>
  </si>
  <si>
    <t>Meter #4 Pipe Reference Temperature</t>
  </si>
  <si>
    <t>Meter #4 DP Low Cutoff</t>
  </si>
  <si>
    <t>Meter #4 DP Low Limit</t>
  </si>
  <si>
    <t>Meter #4 DP High Limit</t>
  </si>
  <si>
    <t>Meter #4 DP Override Value</t>
  </si>
  <si>
    <t>Meter #4 DP Low Range @ 4 mA</t>
  </si>
  <si>
    <t>Meter #4 DP Low Range @ 20mA</t>
  </si>
  <si>
    <t>Meter #4 DP High Range @ 4 mA</t>
  </si>
  <si>
    <t>Meter #4 DP High Range @ 20mA</t>
  </si>
  <si>
    <t>Meter #4 DP Switch High %</t>
  </si>
  <si>
    <t>Meter #4 DP Switch Low %</t>
  </si>
  <si>
    <t>Meter #4 Flowrate Lo-Lim</t>
  </si>
  <si>
    <t>Meter #4 Flowrate Hi-Lim</t>
  </si>
  <si>
    <t>Meter #4 Temp Lo-Lim</t>
  </si>
  <si>
    <t>Meter #4 Temp Hi-Lim</t>
  </si>
  <si>
    <t>Meter #4 Temp Override</t>
  </si>
  <si>
    <t>Meter #4 Temp @ 4 mA</t>
  </si>
  <si>
    <t>Meter #4 Temp @ 20mA</t>
  </si>
  <si>
    <t>Meter #4 Press Lo-Lim</t>
  </si>
  <si>
    <t>Meter #4 Press Hi-Lim</t>
  </si>
  <si>
    <t>Meter #4 Press Override</t>
  </si>
  <si>
    <t>Meter #4 Press @ 4 mA</t>
  </si>
  <si>
    <t>Meter #4 Press @ 20mA</t>
  </si>
  <si>
    <t>Meter #4 Gravity/Density Lo-Lim</t>
  </si>
  <si>
    <t>Meter #4 Gravity/Density Hi-Lim</t>
  </si>
  <si>
    <t>Meter #4 Gravity/Density Override</t>
  </si>
  <si>
    <t>Meter #4 Gravity/Density @ 4 mA</t>
  </si>
  <si>
    <t>Meter #4 Gravity/Density @ 20mA</t>
  </si>
  <si>
    <t>Meter #4 Density Temp Lo-Limit</t>
  </si>
  <si>
    <t>Meter #4 Density Temp Hi-Limit</t>
  </si>
  <si>
    <t>Meter #4 Density Temp Override</t>
  </si>
  <si>
    <t>Meter #4 Density Temp @ 4 mA</t>
  </si>
  <si>
    <t>Meter #4 Density Temp @ 20mA</t>
  </si>
  <si>
    <t>Meter #4 Density Pres Lo-Limit</t>
  </si>
  <si>
    <t>Meter #4 Density Pres Hi-Limit</t>
  </si>
  <si>
    <t>Meter #4 Density Pres Override</t>
  </si>
  <si>
    <t>Meter #4 Density Pres @ 4 mA</t>
  </si>
  <si>
    <t>Meter #4 Density Pres @ 20mA</t>
  </si>
  <si>
    <t>Meter #4 Density Correction Factor A</t>
  </si>
  <si>
    <t>Meter #4 Dens Const #4 (K0/K0/D0/K0)</t>
  </si>
  <si>
    <t>Scratchpad - IEEE Float #1</t>
  </si>
  <si>
    <t>Scratchpad - IEEE Float #2</t>
  </si>
  <si>
    <t>Scratchpad - IEEE Float #3</t>
  </si>
  <si>
    <t>Scratchpad - IEEE Float #4</t>
  </si>
  <si>
    <t>Scratchpad - IEEE Float #5</t>
  </si>
  <si>
    <t>Scratchpad - IEEE Float #6</t>
  </si>
  <si>
    <t>Scratchpad - IEEE Float #7</t>
  </si>
  <si>
    <t>Scratchpad - IEEE Float #8</t>
  </si>
  <si>
    <t>Scratchpad - IEEE Float #9</t>
  </si>
  <si>
    <t>Scratchpad - IEEE Float #10</t>
  </si>
  <si>
    <t>Scratchpad - IEEE Float #11</t>
  </si>
  <si>
    <t>Scratchpad - IEEE Float #12</t>
  </si>
  <si>
    <t>Scratchpad - IEEE Float #13</t>
  </si>
  <si>
    <t>Scratchpad - IEEE Float #14</t>
  </si>
  <si>
    <t>Scratchpad - IEEE Float #15</t>
  </si>
  <si>
    <t>Scratchpad - IEEE Float #16</t>
  </si>
  <si>
    <t>Scratchpad - IEEE Float #17</t>
  </si>
  <si>
    <t>Scratchpad - IEEE Float #18</t>
  </si>
  <si>
    <t>Scratchpad - IEEE Float #19</t>
  </si>
  <si>
    <t>Scratchpad - IEEE Float #20</t>
  </si>
  <si>
    <t>Scratchpad - IEEE Float #21</t>
  </si>
  <si>
    <t>Scratchpad - IEEE Float #22</t>
  </si>
  <si>
    <t>Scratchpad - IEEE Float #23</t>
  </si>
  <si>
    <t>Scratchpad - IEEE Float #24</t>
  </si>
  <si>
    <t>Scratchpad - IEEE Float #25</t>
  </si>
  <si>
    <t>Scratchpad - IEEE Float #26</t>
  </si>
  <si>
    <t>Scratchpad - IEEE Float #27</t>
  </si>
  <si>
    <t>Scratchpad - IEEE Float #28</t>
  </si>
  <si>
    <t>Scratchpad - IEEE Float #29</t>
  </si>
  <si>
    <t>Scratchpad - IEEE Float #30</t>
  </si>
  <si>
    <t>Scratchpad - IEEE Float #31</t>
  </si>
  <si>
    <t>Scratchpad - IEEE Float #32</t>
  </si>
  <si>
    <t>Scratchpad - IEEE Float #33</t>
  </si>
  <si>
    <t>Scratchpad - IEEE Float #34</t>
  </si>
  <si>
    <t>Scratchpad - IEEE Float #35</t>
  </si>
  <si>
    <t>Scratchpad - IEEE Float #36</t>
  </si>
  <si>
    <t>Scratchpad - IEEE Float #37</t>
  </si>
  <si>
    <t>Scratchpad - IEEE Float #38</t>
  </si>
  <si>
    <t>Scratchpad - IEEE Float #39</t>
  </si>
  <si>
    <t>Scratchpad - IEEE Float #40</t>
  </si>
  <si>
    <t>Scratchpad - IEEE Float #42</t>
  </si>
  <si>
    <t>Scratchpad - IEEE Float #43</t>
  </si>
  <si>
    <t>Scratchpad - IEEE Float #44</t>
  </si>
  <si>
    <t>Scratchpad - IEEE Float #52</t>
  </si>
  <si>
    <t>Scratchpad - IEEE Float #54</t>
  </si>
  <si>
    <t>Scratchpad - IEEE Float #64</t>
  </si>
  <si>
    <t>Scratchpad - IEEE Float #66</t>
  </si>
  <si>
    <t>Scratchpad - IEEE Float #88</t>
  </si>
  <si>
    <t>Meter #1 Equilibrium Pressure</t>
  </si>
  <si>
    <t>Meter #2 Equilibrium Pressure</t>
  </si>
  <si>
    <t>Meter #3 Equilibrium Pressure</t>
  </si>
  <si>
    <t>Meter #4 Equilibrium Pressure</t>
  </si>
  <si>
    <t>Meter #4 Meter Factor</t>
  </si>
  <si>
    <t>Meter #1 Previous Batch 'n' Avg Temperature</t>
  </si>
  <si>
    <t>Meter #1 Previous Batch 'n' Avg Pressure</t>
  </si>
  <si>
    <t>Meter #1 Previous Batch 'n' Avg Density</t>
  </si>
  <si>
    <t>Meter #1 Previous Batch 'n' Avg VCF</t>
  </si>
  <si>
    <t>Meter #1 Previous Batch 'n' Avg CPL</t>
  </si>
  <si>
    <t>Meter #1 Previous Batch 'n' Avg MF</t>
  </si>
  <si>
    <t>Meter #1 Previous Batch 'n' Avg SG</t>
  </si>
  <si>
    <t>Meter #1 Previous Batch 'n' Avg SG60/Den@Ref.T</t>
  </si>
  <si>
    <t>Meter #1 Previous Batch 'n' Avg DensityTemperature</t>
  </si>
  <si>
    <t>Meter #1 Previous Batch 'n' Avg Density Pressure</t>
  </si>
  <si>
    <t>Meter #1 Prev Batch'n' Avg Orifice Diameter</t>
  </si>
  <si>
    <t>Meter #1 Prev Batch'n' Avg Pipe Diameter</t>
  </si>
  <si>
    <t>Meter #1 Prev Batch'n' Avg Orifice Coefficient</t>
  </si>
  <si>
    <t>Meter #1 Prev Batch'n' Avg Velocity Factor</t>
  </si>
  <si>
    <t>Meter #1 Prev Batch'n' Avg Expansion Factor Y</t>
  </si>
  <si>
    <t>Meter #1 Prev Batch'n' Avg DensityCorrectionFactor</t>
  </si>
  <si>
    <t>Meter #1 Prev Batch'n' Avg Unfactored Density</t>
  </si>
  <si>
    <t>Meter #1 Prev Batch'n' Avg API60</t>
  </si>
  <si>
    <t>Meter #1 Previous Hour Avg Temperature.</t>
  </si>
  <si>
    <t>Meter #1 Previous Hour Avg Pressure</t>
  </si>
  <si>
    <t>Meter #1 Previous Hour Avg DP or Raw Counts</t>
  </si>
  <si>
    <t>Meter #1 Previous Hour Avg Density in Use</t>
  </si>
  <si>
    <t>Meter #1 Previous Hour Avg Mol % CO2</t>
  </si>
  <si>
    <t>Meter #1 Previous Hour Avg Ref. SG</t>
  </si>
  <si>
    <t>Meter #1 Previous Hour Avg H.V.</t>
  </si>
  <si>
    <t>Meter #1 Previous Hourly Avg Combined Flow Factor</t>
  </si>
  <si>
    <t>Meter #1 Previou Hourly Avg K Factor</t>
  </si>
  <si>
    <t>Meter #1 Previous Daily Avg Temperature</t>
  </si>
  <si>
    <t>Meter #1 Previous Daily Avg Pressure</t>
  </si>
  <si>
    <t>Meter #1 Previous Daily Avg Density</t>
  </si>
  <si>
    <t>Meter #1 Previous Daily Avg VCF</t>
  </si>
  <si>
    <t>Meter #1 Previous Daily Avg CPL</t>
  </si>
  <si>
    <t>Meter #1 Previous Daily Avg Meter Factor</t>
  </si>
  <si>
    <t>Meter #1 Previous Daily Avg SG</t>
  </si>
  <si>
    <t>Meter #1 Previous Daily Avg SG60/Den@Ref.T</t>
  </si>
  <si>
    <t>Meter #1 Previous Daily Avg Density Temperature</t>
  </si>
  <si>
    <t>Meter #1 Previous Daily Avg Density Pressure</t>
  </si>
  <si>
    <t>Meter #1 Previous Daily Avg Orifice Diameter</t>
  </si>
  <si>
    <t>Meter #1 Previous Daily Avg Pipe Diameter</t>
  </si>
  <si>
    <t>Meter #1 Previous Daily Avg Orifice Coefficient</t>
  </si>
  <si>
    <t>Meter #1 Previous Daily Avg Velocity Factor</t>
  </si>
  <si>
    <t>Meter #1 Previous Daily Avg Expansion Factor Y</t>
  </si>
  <si>
    <t>Meter #1 Previous Daily Avg DensityCorrectionFactor</t>
  </si>
  <si>
    <t>Meter #1 Previous Daily Avg Unfactored Density</t>
  </si>
  <si>
    <t>Meter #1 Previous Daily Gross in Float Format</t>
  </si>
  <si>
    <t>Meter #1 Previous Daily Net in Float Format</t>
  </si>
  <si>
    <t>Meter #1 Previous Daily Mass in Float Format</t>
  </si>
  <si>
    <t>Meter #1 Previous Daily NSV in Float Format</t>
  </si>
  <si>
    <t>Meter #1 AGA8 Calculated FPV</t>
  </si>
  <si>
    <t>Meter #1 Current Batch Avg DensityCorrectionFactor</t>
  </si>
  <si>
    <t>Meter #1 Current Daily Avg DensityCorrectionFactor</t>
  </si>
  <si>
    <t>Meter #1 Current Batch Avg Unfactored Density</t>
  </si>
  <si>
    <t>Meter #1 Current Viscosity</t>
  </si>
  <si>
    <t>Meter #2 Previous Batch 'n' Avg Temperature</t>
  </si>
  <si>
    <t>Meter #2 Previous Batch 'n' Avg Pressure</t>
  </si>
  <si>
    <t>Meter #2 Previous Batch 'n' Avg Density</t>
  </si>
  <si>
    <t>Meter #2 Previous Batch 'n' Avg VCF</t>
  </si>
  <si>
    <t>Meter #2 Previous Batch 'n' Avg CPL</t>
  </si>
  <si>
    <t>Meter #2 Previous Batch 'n' Avg MF</t>
  </si>
  <si>
    <t>Meter #2 Previous Batch 'n' Avg SG</t>
  </si>
  <si>
    <t>Meter #2 Previous Batch 'n' Avg SG60/Den@Ref.T</t>
  </si>
  <si>
    <t>Meter #2 Previous Batch 'n' Avg DensityTemperature</t>
  </si>
  <si>
    <t>Meter #2 Previous Batch 'n' Avg Density Pressure</t>
  </si>
  <si>
    <t>Meter #2 Prev Batch'n' Avg Orifice Diameter</t>
  </si>
  <si>
    <t>Meter #2 Prev Batch'n' Avg Pipe Diameter</t>
  </si>
  <si>
    <t>Meter #2 Prev Batch'n' Avg Orifice Coefficient</t>
  </si>
  <si>
    <t>Meter #2 Prev Batch'n' Avg Velocity Factor</t>
  </si>
  <si>
    <t>Meter #2 Prev Batch'n' Avg Expansion Factor Y</t>
  </si>
  <si>
    <t>Meter #2 Prev Batch'n' Avg DensityCorrectionFactor</t>
  </si>
  <si>
    <t>Meter #2 Prev Batch'n' Avg Unfactored Density</t>
  </si>
  <si>
    <t>Meter #2 Prev Batch'n' Avg API60</t>
  </si>
  <si>
    <t>Meter #2 Previous Hour Avg Temperature.</t>
  </si>
  <si>
    <t>Meter #2 Previous Hour Avg Pressure</t>
  </si>
  <si>
    <t>Meter #2 Previous Hour Avg DP or Raw Counts</t>
  </si>
  <si>
    <t>Meter #2 Previous Hour Avg Density in Use</t>
  </si>
  <si>
    <t>Meter #2 Previous Hour Avg Mol % CO2</t>
  </si>
  <si>
    <t>Meter #2 Previous Hour Avg Ref. SG</t>
  </si>
  <si>
    <t>Meter #2 Previous Hour Avg H.V.</t>
  </si>
  <si>
    <t>Meter #2 Previous Hourly Avg Combined Flow Factor</t>
  </si>
  <si>
    <t>Meter #2 Previou Hourly Avg K Factor</t>
  </si>
  <si>
    <t>Meter #2 Previous Daily Avg Temperature</t>
  </si>
  <si>
    <t>Meter #2 Previous Daily Avg Pressure</t>
  </si>
  <si>
    <t>Meter #2 Previous Daily Avg Density</t>
  </si>
  <si>
    <t>Meter #2 Previous Daily Avg VCF</t>
  </si>
  <si>
    <t>Meter #2 Previous Daily Avg CPL</t>
  </si>
  <si>
    <t>Meter #2 Previous Daily Avg Meter Factor</t>
  </si>
  <si>
    <t>Meter #2 Previous Daily Avg SG</t>
  </si>
  <si>
    <t>Meter #2 Previous Daily Avg SG60/Den@Ref.T</t>
  </si>
  <si>
    <t>Meter #2 Previous Daily Avg Density Temperature</t>
  </si>
  <si>
    <t>Meter #2 Previous Daily Avg Density Pressure</t>
  </si>
  <si>
    <t>Meter #2 Previous Daily Avg Orifice Diameter</t>
  </si>
  <si>
    <t>Meter #2 Previous Daily Avg Pipe Diameter</t>
  </si>
  <si>
    <t>Meter #2 Previous Daily Avg Orifice Coefficient</t>
  </si>
  <si>
    <t>Meter #2 Previous Daily Avg Velocity Factor</t>
  </si>
  <si>
    <t>Meter #2 Previous Daily Avg Expansion Factor Y</t>
  </si>
  <si>
    <t>Meter #2 Previous Daily Avg DensityCorrectionFactor</t>
  </si>
  <si>
    <t>Meter #2 Previous Daily Avg Unfactored Density</t>
  </si>
  <si>
    <t>Meter #2 Previous Daily Gross in Float Format</t>
  </si>
  <si>
    <t>Meter #2 Previous Daily Net in Float Format</t>
  </si>
  <si>
    <t>Meter #2 Previous Daily Mass in Float Format</t>
  </si>
  <si>
    <t>Meter #2 Previous Daily NSV in Float Format</t>
  </si>
  <si>
    <t>Meter #2 AGA8 Calculated FPV</t>
  </si>
  <si>
    <t>Meter #2 Current Batch Avg DensityCorrectionFactor</t>
  </si>
  <si>
    <t>Meter #2 Current Daily Avg DensityCorrectionFactor</t>
  </si>
  <si>
    <t>Meter #2 Current Batch Avg Unfactored Density</t>
  </si>
  <si>
    <t>Meter #2 Current Viscosity</t>
  </si>
  <si>
    <t>Meter #3 Previous Batch 'n' Avg Temperature</t>
  </si>
  <si>
    <t>Meter #3 Previous Batch 'n' Avg Pressure</t>
  </si>
  <si>
    <t>Meter #3 Previous Batch 'n' Avg Density</t>
  </si>
  <si>
    <t>Meter #3 Previous Batch 'n' Avg VCF</t>
  </si>
  <si>
    <t>Meter #3 Previous Batch 'n' Avg CPL</t>
  </si>
  <si>
    <t>Meter #3 Previous Batch 'n' Avg MF</t>
  </si>
  <si>
    <t>Meter #3 Previous Batch 'n' Avg SG</t>
  </si>
  <si>
    <t>Meter #3 Previous Batch 'n' Avg SG60/Den@Ref.T</t>
  </si>
  <si>
    <t>Meter #3 Previous Batch 'n' Avg DensityTemperature</t>
  </si>
  <si>
    <t>Meter #3 Previous Batch 'n' Avg Density Pressure</t>
  </si>
  <si>
    <t>Meter #3 Prev Batch'n' Avg Orifice Diameter</t>
  </si>
  <si>
    <t>Meter #3 Prev Batch'n' Avg Pipe Diameter</t>
  </si>
  <si>
    <t>Meter #3 Prev Batch'n' Avg Orifice Coefficient</t>
  </si>
  <si>
    <t>Meter #3 Prev Batch'n' Avg Velocity Factor</t>
  </si>
  <si>
    <t>Meter #3 Prev Batch'n' Avg Expansion Factor Y</t>
  </si>
  <si>
    <t>Meter #3 Prev Batch'n' Avg DensityCorrectionFactor</t>
  </si>
  <si>
    <t>Meter #3 Prev Batch'n' Avg Unfactored Density</t>
  </si>
  <si>
    <t>Meter #3 Prev Batch'n' Avg API60</t>
  </si>
  <si>
    <t>Meter #3 Previous Hour Avg Temperature.</t>
  </si>
  <si>
    <t>Meter #3 Previous Hour Avg Pressure</t>
  </si>
  <si>
    <t>Meter #3 Previous Hour Avg DP or Raw Counts</t>
  </si>
  <si>
    <t>Meter #3 Previous Hour Avg Density in Use</t>
  </si>
  <si>
    <t>Meter #3 Previous Hour Avg Ref. SG</t>
  </si>
  <si>
    <t>Meter #3 Previous Hour Avg H.V.</t>
  </si>
  <si>
    <t>Meter #3 Previous Hourly Avg Combined Flow Factor</t>
  </si>
  <si>
    <t>Meter #3 Previou Hourly Avg K Factor</t>
  </si>
  <si>
    <t>Meter #3 Previous Daily Avg Temperature</t>
  </si>
  <si>
    <t>Meter #3 Previous Daily Avg Pressure</t>
  </si>
  <si>
    <t>Meter #3 Previous Daily Avg Density</t>
  </si>
  <si>
    <t>Meter #3 Previous Daily Avg VCF</t>
  </si>
  <si>
    <t>Meter #3 Previous Daily Avg CPL</t>
  </si>
  <si>
    <t>Meter #3 Previous Daily Avg Meter Factor</t>
  </si>
  <si>
    <t>Meter #3 Previous Daily Avg SG</t>
  </si>
  <si>
    <t>Meter #3 Previous Daily Avg SG60/Den@Ref.T</t>
  </si>
  <si>
    <t>Meter #3 Previous Daily Avg Density Temperature</t>
  </si>
  <si>
    <t>Meter #3 Previous Daily Avg Density Pressure</t>
  </si>
  <si>
    <t>Meter #3 Previous Daily Avg Orifice Diameter</t>
  </si>
  <si>
    <t>Meter #3 Previous Daily Avg Pipe Diameter</t>
  </si>
  <si>
    <t>Meter #3 Previous Daily Avg Orifice Coefficient</t>
  </si>
  <si>
    <t>Meter #3 Previous Daily Avg Velocity Factor</t>
  </si>
  <si>
    <t>Meter #3 Previous Daily Avg Expansion Factor Y</t>
  </si>
  <si>
    <t>Meter #3 Previous Daily Avg DensityCorrectionFactor</t>
  </si>
  <si>
    <t>Meter #3 Previous Daily Avg Unfactored Density</t>
  </si>
  <si>
    <t>Meter #3 Previous Daily Gross in Float Format</t>
  </si>
  <si>
    <t>Meter #3 Previous Daily Net in Float Format</t>
  </si>
  <si>
    <t>Meter #3 Previous Daily Mass in Float Format</t>
  </si>
  <si>
    <t>Meter #3 Previous Daily NSV in Float Format</t>
  </si>
  <si>
    <t>Meter #3 AGA8 Calculated FPV</t>
  </si>
  <si>
    <t>Meter #3 Current Batch Avg DensityCorrectionFactor</t>
  </si>
  <si>
    <t>Meter #3 Current Daily Avg DensityCorrectionFactor</t>
  </si>
  <si>
    <t>Meter #3 Current Batch Avg Unfactored Density</t>
  </si>
  <si>
    <t>Meter #3 Current Viscosity</t>
  </si>
  <si>
    <t>Meter #4 Previous Batch 'n' Avg Temperature</t>
  </si>
  <si>
    <t>Meter #4 Previous Batch 'n' Avg Pressure</t>
  </si>
  <si>
    <t>Meter #4 Previous Batch 'n' Avg Density</t>
  </si>
  <si>
    <t>Meter #4 Previous Batch 'n' Avg VCF</t>
  </si>
  <si>
    <t>Meter #4 Previous Batch 'n' Avg CPL</t>
  </si>
  <si>
    <t>Meter #4 Previous Batch 'n' Avg MF</t>
  </si>
  <si>
    <t>Meter #4 Previous Batch 'n' Avg SG</t>
  </si>
  <si>
    <t>Meter #4 Previous Batch 'n' Avg SG60/Den@Ref.T</t>
  </si>
  <si>
    <t>Meter #4 Previous Batch 'n' Avg DensityTemperature</t>
  </si>
  <si>
    <t>Meter #4 Previous Batch 'n' Avg Density Pressure</t>
  </si>
  <si>
    <t>Meter #4 Prev Batch'n' Avg Orifice Diameter</t>
  </si>
  <si>
    <t>Meter #4 Prev Batch'n' Avg Pipe Diameter</t>
  </si>
  <si>
    <t>Meter #4 Prev Batch'n' Avg Orifice Coefficient</t>
  </si>
  <si>
    <t>Meter #4 Prev Batch'n' Avg Velocity Factor</t>
  </si>
  <si>
    <t>Meter #4 Prev Batch'n' Avg Expansion Factor Y</t>
  </si>
  <si>
    <t>Meter #4 Prev Batch'n' Avg DensityCorrectionFactor</t>
  </si>
  <si>
    <t>Meter #4 Prev Batch'n' Avg Unfactored Density</t>
  </si>
  <si>
    <t>Meter #4 Prev Batch'n' Avg API60</t>
  </si>
  <si>
    <t>Meter #4 Previous Hour Avg Temperature.</t>
  </si>
  <si>
    <t>Meter #4 Previous Hour Avg Pressure</t>
  </si>
  <si>
    <t>Meter #4 Previous Hour Avg DP or Raw Counts</t>
  </si>
  <si>
    <t>Meter #4 Previous Hour Avg Density in Use</t>
  </si>
  <si>
    <t>Meter #4 Previous Hour Avg Ref. SG</t>
  </si>
  <si>
    <t>Meter #4 Previous Hour Avg H.V.</t>
  </si>
  <si>
    <t>Meter #4 Previous Hourly Avg Combined Flow Factor</t>
  </si>
  <si>
    <t>Meter #4 Previou Hourly Avg K Factor</t>
  </si>
  <si>
    <t>Meter #4 Previous Daily Avg Temperature</t>
  </si>
  <si>
    <t>Meter #4 Previous Daily Avg Pressure</t>
  </si>
  <si>
    <t>Meter #4 Previous Daily Avg Density</t>
  </si>
  <si>
    <t>Meter #4 Previous Daily Avg VCF</t>
  </si>
  <si>
    <t>Meter #4 Previous Daily Avg CPL</t>
  </si>
  <si>
    <t>Meter #4 Previous Daily Avg Meter Factor</t>
  </si>
  <si>
    <t>Meter #4 Previous Daily Avg SG</t>
  </si>
  <si>
    <t>Meter #4 Previous Daily Avg SG60/Den@Ref.T</t>
  </si>
  <si>
    <t>Meter #4 Previous Daily Avg Density Temperature</t>
  </si>
  <si>
    <t>Meter #4 Previous Daily Avg Density Pressure</t>
  </si>
  <si>
    <t>Meter #4 Previous Daily Avg Orifice Diameter</t>
  </si>
  <si>
    <t>Meter #4 Previous Daily Avg Pipe Diameter</t>
  </si>
  <si>
    <t>Meter #4 Previous Daily Avg Orifice Coefficient</t>
  </si>
  <si>
    <t>Meter #4 Previous Daily Avg Velocity Factor</t>
  </si>
  <si>
    <t>Meter #4 Previous Daily Avg Expansion Factor Y</t>
  </si>
  <si>
    <t>Meter #4 Previous Daily Avg DensityCorrectionFactor</t>
  </si>
  <si>
    <t>Meter #4 Previous Daily Avg Unfactored Density</t>
  </si>
  <si>
    <t>Meter #4 Previous Daily Gross in Float Format</t>
  </si>
  <si>
    <t>Meter #4 Previous Daily Net in Float Format</t>
  </si>
  <si>
    <t>Meter #4 Previous Daily Mass in Float Format</t>
  </si>
  <si>
    <t>Meter #4 Previous Daily NSV in Float Format</t>
  </si>
  <si>
    <t>Meter #4 AGA8 Calculated FPV</t>
  </si>
  <si>
    <t>Meter #4 Current Batch Avg DensityCorrectionFactor</t>
  </si>
  <si>
    <t>Meter #4 Current Daily Avg DensityCorrectionFactor</t>
  </si>
  <si>
    <t>Meter #4 Current Batch Avg Unfactored Density</t>
  </si>
  <si>
    <t>Meter #4 Current Viscosity</t>
  </si>
  <si>
    <t>Last Batch Report</t>
  </si>
  <si>
    <t>Last Prove Report</t>
  </si>
  <si>
    <t>Last Daily Report</t>
  </si>
  <si>
    <t>Last Snapshot Report</t>
  </si>
  <si>
    <t>Product #1 Prev Hr Avg Mol% Methane/Nitrogen</t>
  </si>
  <si>
    <t>Product #1 Prev Hr Avg Mol% Nitrogen/CO2</t>
  </si>
  <si>
    <t>Product #1 Prev Hr Avg Mol% CO2/Hydrogen Sul</t>
  </si>
  <si>
    <t>Product #1 Prev Hr Avg Mol% Ethane/Water</t>
  </si>
  <si>
    <t>Product #1 Prev Hr Avg Mol% Propane/Helium</t>
  </si>
  <si>
    <t>Product #1 Prev Hr Avg Mol% Water/Methane</t>
  </si>
  <si>
    <t>Product #1 Prev Hr Avg Mol% Hydrogen S/Ethane</t>
  </si>
  <si>
    <t>Product #1 Prev Hr Avg Mol% Hydrogen/Propane</t>
  </si>
  <si>
    <t>Product #1 Prev Hr Avg Mol% Carbon M/n-Butane</t>
  </si>
  <si>
    <t>Product #1 Prev Hr Avg Mol% Oxygen/i-Butane</t>
  </si>
  <si>
    <t>Product #1 Prev Hr Avg Mol% i-Butane/n-Pentane</t>
  </si>
  <si>
    <t>Product #1 Prev Hr Avg Mol% n-Butane/i-Pentane</t>
  </si>
  <si>
    <t>Product #1 Prev Hr Avg Mol% i-Pentane/n-Hexane</t>
  </si>
  <si>
    <t>Product #1 Prev Hr Avg Mol% n-Pentane/n-Heptane</t>
  </si>
  <si>
    <t>Product #1 Prev Hr Avg Mol% n-Hexane/n-Octane</t>
  </si>
  <si>
    <t>Product #1 Prev Hr Avg Mol% n-Heptane/n-Nonane</t>
  </si>
  <si>
    <t>Product #1 Prev Hr Avg Mol% n-Octane/n-Decane</t>
  </si>
  <si>
    <t>Product #1 Prev Hr Avg Mol% n-Nonane/Oxygen</t>
  </si>
  <si>
    <t>Product #1 Prev Hr Avg Mol% n-Decane/CarbonM</t>
  </si>
  <si>
    <t>Product #1 Prev Hr Avg Mol% Helium/Hydrogen</t>
  </si>
  <si>
    <t>Product #1 Prev Hr Avg Mol% Argon/Not Used</t>
  </si>
  <si>
    <t>Result</t>
  </si>
  <si>
    <t>Usage:[=RTD("modbusexcel.rtd",,HOST,UNIT,IF(ENABLE="n","D",MODICON),ADDRESS,LENGTH,PERxxxx,PORT)]</t>
  </si>
  <si>
    <t>LogLevels bitmasks (see ModbusExcel\NLog.config for output file name). Change column B to change logging flags</t>
  </si>
  <si>
    <t xml:space="preserve">                  Click Red circle to start. Click Green circle to stop.</t>
  </si>
  <si>
    <t>Y</t>
  </si>
  <si>
    <t>4129 Reserved</t>
  </si>
  <si>
    <t>4130 Reserved</t>
  </si>
  <si>
    <t>PerRegister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</si>
</sst>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3" borderId="3" applyNumberFormat="0" applyFont="0" applyAlignment="0" applyProtection="0"/>
    <xf numFmtId="0" fontId="7" fillId="6" borderId="4" applyNumberFormat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1" fontId="0" fillId="2" borderId="0" xfId="0" quotePrefix="1" applyNumberFormat="1" applyFill="1"/>
    <xf numFmtId="0" fontId="0" fillId="0" borderId="0" xfId="0"/>
    <xf numFmtId="0" fontId="3" fillId="5" borderId="2" xfId="0" applyFont="1" applyFill="1" applyBorder="1"/>
    <xf numFmtId="0" fontId="6" fillId="0" borderId="1" xfId="0" applyFont="1" applyBorder="1"/>
    <xf numFmtId="0" fontId="3" fillId="0" borderId="2" xfId="0" applyFont="1" applyBorder="1" applyAlignment="1">
      <alignment horizontal="right"/>
    </xf>
    <xf numFmtId="0" fontId="3" fillId="0" borderId="0" xfId="0" quotePrefix="1" applyFont="1"/>
    <xf numFmtId="0" fontId="3" fillId="0" borderId="5" xfId="0" applyFont="1" applyBorder="1" applyAlignment="1">
      <alignment horizontal="right"/>
    </xf>
    <xf numFmtId="0" fontId="5" fillId="4" borderId="7" xfId="0" applyFont="1" applyFill="1" applyBorder="1" applyAlignment="1">
      <alignment horizontal="left"/>
    </xf>
    <xf numFmtId="0" fontId="7" fillId="6" borderId="2" xfId="2" applyBorder="1" applyAlignment="1">
      <alignment horizontal="left"/>
    </xf>
    <xf numFmtId="0" fontId="8" fillId="0" borderId="0" xfId="0" applyFont="1" applyAlignment="1">
      <alignment vertical="center"/>
    </xf>
    <xf numFmtId="0" fontId="7" fillId="6" borderId="0" xfId="2" applyBorder="1"/>
    <xf numFmtId="0" fontId="0" fillId="0" borderId="0" xfId="0" applyFill="1"/>
    <xf numFmtId="0" fontId="0" fillId="7" borderId="8" xfId="0" applyFill="1" applyBorder="1"/>
    <xf numFmtId="0" fontId="0" fillId="8" borderId="0" xfId="0" applyFill="1"/>
    <xf numFmtId="0" fontId="9" fillId="0" borderId="0" xfId="0" applyFont="1"/>
    <xf numFmtId="0" fontId="9" fillId="3" borderId="3" xfId="1" applyFont="1"/>
    <xf numFmtId="0" fontId="3" fillId="8" borderId="2" xfId="0" applyFont="1" applyFill="1" applyBorder="1" applyAlignment="1">
      <alignment horizontal="right"/>
    </xf>
    <xf numFmtId="0" fontId="0" fillId="5" borderId="0" xfId="0" applyFill="1"/>
    <xf numFmtId="0" fontId="0" fillId="9" borderId="0" xfId="0" applyFill="1"/>
    <xf numFmtId="0" fontId="0" fillId="10" borderId="0" xfId="0" applyFill="1"/>
    <xf numFmtId="0" fontId="7" fillId="6" borderId="2" xfId="2" applyBorder="1"/>
    <xf numFmtId="0" fontId="10" fillId="0" borderId="0" xfId="0" quotePrefix="1" applyFont="1"/>
    <xf numFmtId="0" fontId="0" fillId="0" borderId="2" xfId="0" applyBorder="1" applyAlignment="1">
      <alignment horizontal="center"/>
    </xf>
    <xf numFmtId="0" fontId="12" fillId="0" borderId="6" xfId="0" applyFont="1" applyBorder="1"/>
    <xf numFmtId="0" fontId="12" fillId="0" borderId="6" xfId="0" applyFont="1" applyBorder="1" applyAlignment="1">
      <alignment horizontal="right"/>
    </xf>
    <xf numFmtId="0" fontId="12" fillId="0" borderId="0" xfId="0" applyFont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11" fillId="0" borderId="6" xfId="0" applyFont="1" applyBorder="1" applyAlignment="1">
      <alignment horizontal="center"/>
    </xf>
    <xf numFmtId="0" fontId="3" fillId="2" borderId="5" xfId="0" applyFont="1" applyFill="1" applyBorder="1" applyAlignment="1"/>
    <xf numFmtId="0" fontId="0" fillId="0" borderId="9" xfId="0" applyBorder="1" applyAlignment="1"/>
    <xf numFmtId="0" fontId="3" fillId="5" borderId="5" xfId="0" applyFont="1" applyFill="1" applyBorder="1" applyAlignment="1"/>
  </cellXfs>
  <cellStyles count="3">
    <cellStyle name="Calculation" xfId="2" builtinId="22"/>
    <cellStyle name="Normal" xfId="0" builtinId="0"/>
    <cellStyle name="Note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dbusexcel.rtd">
      <tp>
        <v>115</v>
        <stp/>
        <stp>ConnectionCount</stp>
        <stp/>
        <stp/>
        <stp/>
        <stp/>
        <stp/>
        <tr r="C13" s="1"/>
      </tp>
      <tp>
        <v>-1</v>
        <stp/>
        <stp>minconnections</stp>
        <stp>-1</stp>
        <stp/>
        <stp/>
        <stp/>
        <tr r="C7" s="1"/>
      </tp>
      <tp t="s">
        <v>False</v>
        <stp/>
        <stp>DeleteCachedValues</stp>
        <stp>false</stp>
        <stp/>
        <stp/>
        <stp/>
        <tr r="C5" s="1"/>
      </tp>
      <tp>
        <v>180000</v>
        <stp/>
        <stp>SocketTimeout</stp>
        <stp>180000</stp>
        <stp/>
        <stp/>
        <stp/>
        <tr r="C4" s="1"/>
      </tp>
      <tp>
        <v>0</v>
        <stp/>
        <stp>ConnectionPending</stp>
        <stp/>
        <stp/>
        <stp/>
        <stp/>
        <stp/>
        <tr r="C12" s="1"/>
      </tp>
      <tp>
        <v>-1</v>
        <stp/>
        <stp>maxqueue</stp>
        <stp>-1</stp>
        <stp/>
        <stp/>
        <stp/>
        <tr r="C8" s="1"/>
      </tp>
      <tp>
        <v>2000</v>
        <stp/>
        <stp>ExcelUpdateRate</stp>
        <stp>2000</stp>
        <stp/>
        <stp/>
        <stp/>
        <tr r="C3" s="1"/>
      </tp>
      <tp>
        <v>300000</v>
        <stp/>
        <stp>maxread</stp>
        <stp>300000</stp>
        <stp/>
        <stp/>
        <stp/>
        <tr r="C6" s="1"/>
      </tp>
      <tp>
        <v>0</v>
        <stp/>
        <stp>simulate</stp>
        <stp>0</stp>
        <stp/>
        <stp/>
        <stp/>
        <tr r="C9" s="1"/>
      </tp>
      <tp>
        <v>0</v>
        <stp/>
        <stp>PollRate</stp>
        <stp>0</stp>
        <stp/>
        <stp/>
        <stp/>
        <tr r="C2" s="1"/>
      </tp>
      <tp t="s">
        <v>115/115</v>
        <stp/>
        <stp>SendReceiveCount</stp>
        <stp/>
        <stp/>
        <stp/>
        <stp/>
        <stp/>
        <tr r="C14" s="1"/>
      </tp>
      <tp>
        <v>115</v>
        <stp/>
        <stp>TopicCount</stp>
        <stp/>
        <stp/>
        <stp/>
        <stp/>
        <stp/>
        <tr r="C10" s="1"/>
      </tp>
      <tp t="s">
        <v>System.Char[]</v>
        <stp/>
        <stp>127.0.0.1</stp>
        <stp>1</stp>
        <stp>N</stp>
        <stp>8561</stp>
        <stp>1</stp>
        <stp>PerRegister</stp>
        <stp>1502</stp>
        <tr r="Y22" s="1"/>
      </tp>
      <tp t="s">
        <v>System.Char[]</v>
        <stp/>
        <stp>127.0.0.1</stp>
        <stp>1</stp>
        <stp>N</stp>
        <stp>8563</stp>
        <stp>1</stp>
        <stp>PerRegister</stp>
        <stp>1502</stp>
        <tr r="Y23" s="1"/>
      </tp>
      <tp t="s">
        <v>System.Char[]</v>
        <stp/>
        <stp>127.0.0.1</stp>
        <stp>1</stp>
        <stp>N</stp>
        <stp>8540</stp>
        <stp>1</stp>
        <stp>PerRegister</stp>
        <stp>1502</stp>
        <tr r="Y16" s="1"/>
      </tp>
      <tp t="s">
        <v>System.Char[]</v>
        <stp/>
        <stp>127.0.0.1</stp>
        <stp>1</stp>
        <stp>N</stp>
        <stp>8541</stp>
        <stp>1</stp>
        <stp>PerRegister</stp>
        <stp>1502</stp>
        <tr r="Y17" s="1"/>
      </tp>
      <tp t="s">
        <v>System.Char[]</v>
        <stp/>
        <stp>127.0.0.1</stp>
        <stp>1</stp>
        <stp>N</stp>
        <stp>8542</stp>
        <stp>1</stp>
        <stp>PerRegister</stp>
        <stp>1502</stp>
        <tr r="Y18" s="1"/>
      </tp>
      <tp t="s">
        <v>System.Char[]</v>
        <stp/>
        <stp>127.0.0.1</stp>
        <stp>1</stp>
        <stp>N</stp>
        <stp>8543</stp>
        <stp>1</stp>
        <stp>PerRegister</stp>
        <stp>1502</stp>
        <tr r="Y19" s="1"/>
      </tp>
      <tp t="s">
        <v>System.Char[]</v>
        <stp/>
        <stp>127.0.0.1</stp>
        <stp>1</stp>
        <stp>N</stp>
        <stp>8546</stp>
        <stp>1</stp>
        <stp>PerRegister</stp>
        <stp>1502</stp>
        <tr r="Y20" s="1"/>
      </tp>
      <tp t="s">
        <v>System.Char[]</v>
        <stp/>
        <stp>127.0.0.1</stp>
        <stp>1</stp>
        <stp>N</stp>
        <stp>8548</stp>
        <stp>1</stp>
        <stp>PerRegister</stp>
        <stp>1502</stp>
        <tr r="Y21" s="1"/>
      </tp>
      <tp t="s">
        <v>System.Char[]</v>
        <stp/>
        <stp>127.0.0.1</stp>
        <stp>1</stp>
        <stp>N</stp>
        <stp>8531</stp>
        <stp>1</stp>
        <stp>PerRegister</stp>
        <stp>1502</stp>
        <tr r="Y7" s="1"/>
      </tp>
      <tp t="s">
        <v>System.Char[]</v>
        <stp/>
        <stp>127.0.0.1</stp>
        <stp>1</stp>
        <stp>N</stp>
        <stp>8532</stp>
        <stp>1</stp>
        <stp>PerRegister</stp>
        <stp>1502</stp>
        <tr r="Y8" s="1"/>
      </tp>
      <tp t="s">
        <v>System.Char[]</v>
        <stp/>
        <stp>127.0.0.1</stp>
        <stp>1</stp>
        <stp>N</stp>
        <stp>8533</stp>
        <stp>1</stp>
        <stp>PerRegister</stp>
        <stp>1502</stp>
        <tr r="Y9" s="1"/>
      </tp>
      <tp t="s">
        <v>System.Char[]</v>
        <stp/>
        <stp>127.0.0.1</stp>
        <stp>1</stp>
        <stp>N</stp>
        <stp>8534</stp>
        <stp>1</stp>
        <stp>PerRegister</stp>
        <stp>1502</stp>
        <tr r="Y10" s="1"/>
      </tp>
      <tp t="s">
        <v>System.Char[]</v>
        <stp/>
        <stp>127.0.0.1</stp>
        <stp>1</stp>
        <stp>N</stp>
        <stp>8535</stp>
        <stp>1</stp>
        <stp>PerRegister</stp>
        <stp>1502</stp>
        <tr r="Y11" s="1"/>
      </tp>
      <tp t="s">
        <v>System.Char[]</v>
        <stp/>
        <stp>127.0.0.1</stp>
        <stp>1</stp>
        <stp>N</stp>
        <stp>8536</stp>
        <stp>1</stp>
        <stp>PerRegister</stp>
        <stp>1502</stp>
        <tr r="Y12" s="1"/>
      </tp>
      <tp t="s">
        <v>System.Char[]</v>
        <stp/>
        <stp>127.0.0.1</stp>
        <stp>1</stp>
        <stp>N</stp>
        <stp>8537</stp>
        <stp>1</stp>
        <stp>PerRegister</stp>
        <stp>1502</stp>
        <tr r="Y13" s="1"/>
      </tp>
      <tp t="s">
        <v>System.Char[]</v>
        <stp/>
        <stp>127.0.0.1</stp>
        <stp>1</stp>
        <stp>N</stp>
        <stp>8538</stp>
        <stp>1</stp>
        <stp>PerRegister</stp>
        <stp>1502</stp>
        <tr r="Y14" s="1"/>
      </tp>
      <tp t="s">
        <v>System.Char[]</v>
        <stp/>
        <stp>127.0.0.1</stp>
        <stp>1</stp>
        <stp>N</stp>
        <stp>8539</stp>
        <stp>1</stp>
        <stp>PerRegister</stp>
        <stp>1502</stp>
        <tr r="Y15" s="1"/>
      </tp>
      <tp t="s">
        <v>System.Char[]</v>
        <stp/>
        <stp>127.0.0.1</stp>
        <stp>1</stp>
        <stp>N</stp>
        <stp>8510</stp>
        <stp>1</stp>
        <stp>PerRegister</stp>
        <stp>1502</stp>
        <tr r="T32" s="1"/>
      </tp>
      <tp t="s">
        <v>System.Char[]</v>
        <stp/>
        <stp>127.0.0.1</stp>
        <stp>1</stp>
        <stp>N</stp>
        <stp>8511</stp>
        <stp>1</stp>
        <stp>PerRegister</stp>
        <stp>1502</stp>
        <tr r="T33" s="1"/>
      </tp>
      <tp t="s">
        <v>System.Char[]</v>
        <stp/>
        <stp>127.0.0.1</stp>
        <stp>1</stp>
        <stp>N</stp>
        <stp>8512</stp>
        <stp>1</stp>
        <stp>PerRegister</stp>
        <stp>1502</stp>
        <tr r="T34" s="1"/>
      </tp>
      <tp t="s">
        <v>System.Char[]</v>
        <stp/>
        <stp>127.0.0.1</stp>
        <stp>1</stp>
        <stp>N</stp>
        <stp>8513</stp>
        <stp>1</stp>
        <stp>PerRegister</stp>
        <stp>1502</stp>
        <tr r="T35" s="1"/>
      </tp>
      <tp t="s">
        <v>System.Char[]</v>
        <stp/>
        <stp>127.0.0.1</stp>
        <stp>1</stp>
        <stp>N</stp>
        <stp>8516</stp>
        <stp>1</stp>
        <stp>PerRegister</stp>
        <stp>1502</stp>
        <tr r="T36" s="1"/>
      </tp>
      <tp t="s">
        <v>System.Char[]</v>
        <stp/>
        <stp>127.0.0.1</stp>
        <stp>1</stp>
        <stp>N</stp>
        <stp>8518</stp>
        <stp>1</stp>
        <stp>PerRegister</stp>
        <stp>1502</stp>
        <tr r="Y5" s="1"/>
      </tp>
      <tp t="s">
        <v>System.Char[]</v>
        <stp/>
        <stp>127.0.0.1</stp>
        <stp>1</stp>
        <stp>N</stp>
        <stp>8519</stp>
        <stp>1</stp>
        <stp>PerRegister</stp>
        <stp>1502</stp>
        <tr r="Y6" s="1"/>
      </tp>
      <tp t="s">
        <v>System.Char[]</v>
        <stp/>
        <stp>127.0.0.1</stp>
        <stp>1</stp>
        <stp>N</stp>
        <stp>8501</stp>
        <stp>1</stp>
        <stp>PerRegister</stp>
        <stp>1502</stp>
        <tr r="T23" s="1"/>
      </tp>
      <tp t="s">
        <v>System.Char[]</v>
        <stp/>
        <stp>127.0.0.1</stp>
        <stp>1</stp>
        <stp>N</stp>
        <stp>8502</stp>
        <stp>1</stp>
        <stp>PerRegister</stp>
        <stp>1502</stp>
        <tr r="T24" s="1"/>
      </tp>
      <tp t="s">
        <v>System.Char[]</v>
        <stp/>
        <stp>127.0.0.1</stp>
        <stp>1</stp>
        <stp>N</stp>
        <stp>8503</stp>
        <stp>1</stp>
        <stp>PerRegister</stp>
        <stp>1502</stp>
        <tr r="T25" s="1"/>
      </tp>
      <tp t="s">
        <v>System.Char[]</v>
        <stp/>
        <stp>127.0.0.1</stp>
        <stp>1</stp>
        <stp>N</stp>
        <stp>8504</stp>
        <stp>1</stp>
        <stp>PerRegister</stp>
        <stp>1502</stp>
        <tr r="T26" s="1"/>
      </tp>
      <tp t="s">
        <v>System.Char[]</v>
        <stp/>
        <stp>127.0.0.1</stp>
        <stp>1</stp>
        <stp>N</stp>
        <stp>8505</stp>
        <stp>1</stp>
        <stp>PerRegister</stp>
        <stp>1502</stp>
        <tr r="T27" s="1"/>
      </tp>
      <tp t="s">
        <v>System.Char[]</v>
        <stp/>
        <stp>127.0.0.1</stp>
        <stp>1</stp>
        <stp>N</stp>
        <stp>8506</stp>
        <stp>1</stp>
        <stp>PerRegister</stp>
        <stp>1502</stp>
        <tr r="T28" s="1"/>
      </tp>
      <tp t="s">
        <v>System.Char[]</v>
        <stp/>
        <stp>127.0.0.1</stp>
        <stp>1</stp>
        <stp>N</stp>
        <stp>8507</stp>
        <stp>1</stp>
        <stp>PerRegister</stp>
        <stp>1502</stp>
        <tr r="T29" s="1"/>
      </tp>
      <tp t="s">
        <v>System.Char[]</v>
        <stp/>
        <stp>127.0.0.1</stp>
        <stp>1</stp>
        <stp>N</stp>
        <stp>8508</stp>
        <stp>1</stp>
        <stp>PerRegister</stp>
        <stp>1502</stp>
        <tr r="T30" s="1"/>
      </tp>
      <tp t="s">
        <v>System.Char[]</v>
        <stp/>
        <stp>127.0.0.1</stp>
        <stp>1</stp>
        <stp>N</stp>
        <stp>8509</stp>
        <stp>1</stp>
        <stp>PerRegister</stp>
        <stp>1502</stp>
        <tr r="T31" s="1"/>
      </tp>
      <tp>
        <v>0</v>
        <stp/>
        <stp>ReadPending</stp>
        <stp/>
        <stp/>
        <stp/>
        <stp/>
        <stp/>
        <tr r="C11" s="1"/>
      </tp>
      <tp t="s">
        <v>System.Char[]</v>
        <stp/>
        <stp>127.0.0.1</stp>
        <stp>1</stp>
        <stp>N</stp>
        <stp>7189</stp>
        <stp>1</stp>
        <stp>PerRegister</stp>
        <stp>1502</stp>
        <tr r="T20" s="1"/>
      </tp>
      <tp t="s">
        <v>System.Char[]</v>
        <stp/>
        <stp>127.0.0.1</stp>
        <stp>1</stp>
        <stp>N</stp>
        <stp>7140</stp>
        <stp>1</stp>
        <stp>PerRegister</stp>
        <stp>1502</stp>
        <tr r="T18" s="1"/>
      </tp>
      <tp t="s">
        <v>System.Char[]</v>
        <stp/>
        <stp>127.0.0.1</stp>
        <stp>1</stp>
        <stp>N</stp>
        <stp>7143</stp>
        <stp>1</stp>
        <stp>PerRegister</stp>
        <stp>1502</stp>
        <tr r="T19" s="1"/>
      </tp>
      <tp t="s">
        <v>System.Char[]</v>
        <stp/>
        <stp>127.0.0.1</stp>
        <stp>1</stp>
        <stp>N</stp>
        <stp>7130</stp>
        <stp>1</stp>
        <stp>PerRegister</stp>
        <stp>1502</stp>
        <tr r="T17" s="1"/>
      </tp>
      <tp t="s">
        <v>System.Char[]</v>
        <stp/>
        <stp>127.0.0.1</stp>
        <stp>1</stp>
        <stp>N</stp>
        <stp>7120</stp>
        <stp>1</stp>
        <stp>PerRegister</stp>
        <stp>1502</stp>
        <tr r="T9" s="1"/>
      </tp>
      <tp t="s">
        <v>System.Char[]</v>
        <stp/>
        <stp>127.0.0.1</stp>
        <stp>1</stp>
        <stp>N</stp>
        <stp>7123</stp>
        <stp>1</stp>
        <stp>PerRegister</stp>
        <stp>1502</stp>
        <tr r="T10" s="1"/>
      </tp>
      <tp t="s">
        <v>System.Char[]</v>
        <stp/>
        <stp>127.0.0.1</stp>
        <stp>1</stp>
        <stp>N</stp>
        <stp>7124</stp>
        <stp>1</stp>
        <stp>PerRegister</stp>
        <stp>1502</stp>
        <tr r="T11" s="1"/>
      </tp>
      <tp t="s">
        <v>System.Char[]</v>
        <stp/>
        <stp>127.0.0.1</stp>
        <stp>1</stp>
        <stp>N</stp>
        <stp>7125</stp>
        <stp>1</stp>
        <stp>PerRegister</stp>
        <stp>1502</stp>
        <tr r="T12" s="1"/>
      </tp>
      <tp t="s">
        <v>System.Char[]</v>
        <stp/>
        <stp>127.0.0.1</stp>
        <stp>1</stp>
        <stp>N</stp>
        <stp>7126</stp>
        <stp>1</stp>
        <stp>PerRegister</stp>
        <stp>1502</stp>
        <tr r="T13" s="1"/>
      </tp>
      <tp t="s">
        <v>System.Char[]</v>
        <stp/>
        <stp>127.0.0.1</stp>
        <stp>1</stp>
        <stp>N</stp>
        <stp>7127</stp>
        <stp>1</stp>
        <stp>PerRegister</stp>
        <stp>1502</stp>
        <tr r="T14" s="1"/>
      </tp>
      <tp t="s">
        <v>System.Char[]</v>
        <stp/>
        <stp>127.0.0.1</stp>
        <stp>1</stp>
        <stp>N</stp>
        <stp>7128</stp>
        <stp>1</stp>
        <stp>PerRegister</stp>
        <stp>1502</stp>
        <tr r="T15" s="1"/>
      </tp>
      <tp t="s">
        <v>System.Char[]</v>
        <stp/>
        <stp>127.0.0.1</stp>
        <stp>1</stp>
        <stp>N</stp>
        <stp>7129</stp>
        <stp>1</stp>
        <stp>PerRegister</stp>
        <stp>1502</stp>
        <tr r="T16" s="1"/>
      </tp>
      <tp t="s">
        <v>System.Char[]</v>
        <stp/>
        <stp>127.0.0.1</stp>
        <stp>1</stp>
        <stp>N</stp>
        <stp>7110</stp>
        <stp>1</stp>
        <stp>PerRegister</stp>
        <stp>1502</stp>
        <tr r="O31" s="1"/>
      </tp>
      <tp t="s">
        <v>System.Char[]</v>
        <stp/>
        <stp>127.0.0.1</stp>
        <stp>1</stp>
        <stp>N</stp>
        <stp>7111</stp>
        <stp>1</stp>
        <stp>PerRegister</stp>
        <stp>1502</stp>
        <tr r="O32" s="1"/>
      </tp>
      <tp t="s">
        <v>System.Char[]</v>
        <stp/>
        <stp>127.0.0.1</stp>
        <stp>1</stp>
        <stp>N</stp>
        <stp>7112</stp>
        <stp>1</stp>
        <stp>PerRegister</stp>
        <stp>1502</stp>
        <tr r="O33" s="1"/>
      </tp>
      <tp t="s">
        <v>System.Char[]</v>
        <stp/>
        <stp>127.0.0.1</stp>
        <stp>1</stp>
        <stp>N</stp>
        <stp>7113</stp>
        <stp>1</stp>
        <stp>PerRegister</stp>
        <stp>1502</stp>
        <tr r="O34" s="1"/>
      </tp>
      <tp t="s">
        <v>System.Char[]</v>
        <stp/>
        <stp>127.0.0.1</stp>
        <stp>1</stp>
        <stp>N</stp>
        <stp>7114</stp>
        <stp>1</stp>
        <stp>PerRegister</stp>
        <stp>1502</stp>
        <tr r="O35" s="1"/>
      </tp>
      <tp t="s">
        <v>System.Char[]</v>
        <stp/>
        <stp>127.0.0.1</stp>
        <stp>1</stp>
        <stp>N</stp>
        <stp>7115</stp>
        <stp>1</stp>
        <stp>PerRegister</stp>
        <stp>1502</stp>
        <tr r="O36" s="1"/>
      </tp>
      <tp t="s">
        <v>System.Char[]</v>
        <stp/>
        <stp>127.0.0.1</stp>
        <stp>1</stp>
        <stp>N</stp>
        <stp>7116</stp>
        <stp>1</stp>
        <stp>PerRegister</stp>
        <stp>1502</stp>
        <tr r="T5" s="1"/>
      </tp>
      <tp t="s">
        <v>System.Char[]</v>
        <stp/>
        <stp>127.0.0.1</stp>
        <stp>1</stp>
        <stp>N</stp>
        <stp>7117</stp>
        <stp>1</stp>
        <stp>PerRegister</stp>
        <stp>1502</stp>
        <tr r="T6" s="1"/>
      </tp>
      <tp t="s">
        <v>System.Char[]</v>
        <stp/>
        <stp>127.0.0.1</stp>
        <stp>1</stp>
        <stp>N</stp>
        <stp>7118</stp>
        <stp>1</stp>
        <stp>PerRegister</stp>
        <stp>1502</stp>
        <tr r="T7" s="1"/>
      </tp>
      <tp t="s">
        <v>System.Char[]</v>
        <stp/>
        <stp>127.0.0.1</stp>
        <stp>1</stp>
        <stp>N</stp>
        <stp>7119</stp>
        <stp>1</stp>
        <stp>PerRegister</stp>
        <stp>1502</stp>
        <tr r="T8" s="1"/>
      </tp>
      <tp t="s">
        <v>System.Char[]</v>
        <stp/>
        <stp>127.0.0.1</stp>
        <stp>1</stp>
        <stp>N</stp>
        <stp>7101</stp>
        <stp>1</stp>
        <stp>PerRegister</stp>
        <stp>1502</stp>
        <tr r="O24" s="1"/>
      </tp>
      <tp t="s">
        <v>System.Char[]</v>
        <stp/>
        <stp>127.0.0.1</stp>
        <stp>1</stp>
        <stp>N</stp>
        <stp>7102</stp>
        <stp>1</stp>
        <stp>PerRegister</stp>
        <stp>1502</stp>
        <tr r="O25" s="1"/>
      </tp>
      <tp t="s">
        <v>System.Char[]</v>
        <stp/>
        <stp>127.0.0.1</stp>
        <stp>1</stp>
        <stp>N</stp>
        <stp>7103</stp>
        <stp>1</stp>
        <stp>PerRegister</stp>
        <stp>1502</stp>
        <tr r="O26" s="1"/>
      </tp>
      <tp t="s">
        <v>System.Char[]</v>
        <stp/>
        <stp>127.0.0.1</stp>
        <stp>1</stp>
        <stp>N</stp>
        <stp>7105</stp>
        <stp>1</stp>
        <stp>PerRegister</stp>
        <stp>1502</stp>
        <tr r="O27" s="1"/>
      </tp>
      <tp t="s">
        <v>System.Char[]</v>
        <stp/>
        <stp>127.0.0.1</stp>
        <stp>1</stp>
        <stp>N</stp>
        <stp>7106</stp>
        <stp>1</stp>
        <stp>PerRegister</stp>
        <stp>1502</stp>
        <tr r="O28" s="1"/>
      </tp>
      <tp t="s">
        <v>System.Char[]</v>
        <stp/>
        <stp>127.0.0.1</stp>
        <stp>1</stp>
        <stp>N</stp>
        <stp>7108</stp>
        <stp>1</stp>
        <stp>PerRegister</stp>
        <stp>1502</stp>
        <tr r="O29" s="1"/>
      </tp>
      <tp t="s">
        <v>System.Char[]</v>
        <stp/>
        <stp>127.0.0.1</stp>
        <stp>1</stp>
        <stp>N</stp>
        <stp>7109</stp>
        <stp>1</stp>
        <stp>PerRegister</stp>
        <stp>1502</stp>
        <tr r="O30" s="1"/>
      </tp>
      <tp t="s">
        <v>System.Char[]</v>
        <stp/>
        <stp>127.0.0.1</stp>
        <stp>1</stp>
        <stp>N</stp>
        <stp>7796</stp>
        <stp>1</stp>
        <stp>PerRegister</stp>
        <stp>1502</stp>
        <tr r="T22" s="1"/>
      </tp>
      <tp t="s">
        <v>System.Char[]</v>
        <stp/>
        <stp>127.0.0.1</stp>
        <stp>1</stp>
        <stp>N</stp>
        <stp>7624</stp>
        <stp>1</stp>
        <stp>PerRegister</stp>
        <stp>1502</stp>
        <tr r="T21" s="1"/>
      </tp>
      <tp t="s">
        <v>System.Char[]</v>
        <stp/>
        <stp>127.0.0.1</stp>
        <stp>1</stp>
        <stp>N</stp>
        <stp>4140</stp>
        <stp>1</stp>
        <stp>PerRegister</stp>
        <stp>1502</stp>
        <tr r="J19" s="1"/>
      </tp>
      <tp t="s">
        <v>System.Char[]</v>
        <stp/>
        <stp>127.0.0.1</stp>
        <stp>1</stp>
        <stp>N</stp>
        <stp>4141</stp>
        <stp>1</stp>
        <stp>PerRegister</stp>
        <stp>1502</stp>
        <tr r="J20" s="1"/>
      </tp>
      <tp t="s">
        <v>System.Char[]</v>
        <stp/>
        <stp>127.0.0.1</stp>
        <stp>1</stp>
        <stp>N</stp>
        <stp>4142</stp>
        <stp>1</stp>
        <stp>PerRegister</stp>
        <stp>1502</stp>
        <tr r="J21" s="1"/>
      </tp>
      <tp t="s">
        <v>System.Char[]</v>
        <stp/>
        <stp>127.0.0.1</stp>
        <stp>1</stp>
        <stp>N</stp>
        <stp>4143</stp>
        <stp>1</stp>
        <stp>PerRegister</stp>
        <stp>1502</stp>
        <tr r="J22" s="1"/>
      </tp>
      <tp t="s">
        <v>System.Char[]</v>
        <stp/>
        <stp>127.0.0.1</stp>
        <stp>1</stp>
        <stp>N</stp>
        <stp>4131</stp>
        <stp>1</stp>
        <stp>PerRegister</stp>
        <stp>1502</stp>
        <tr r="J12" s="1"/>
      </tp>
      <tp t="s">
        <v>System.Char[]</v>
        <stp/>
        <stp>127.0.0.1</stp>
        <stp>1</stp>
        <stp>N</stp>
        <stp>4132</stp>
        <stp>1</stp>
        <stp>PerRegister</stp>
        <stp>1502</stp>
        <tr r="J13" s="1"/>
      </tp>
      <tp t="s">
        <v>System.Char[]</v>
        <stp/>
        <stp>127.0.0.1</stp>
        <stp>1</stp>
        <stp>N</stp>
        <stp>4133</stp>
        <stp>1</stp>
        <stp>PerRegister</stp>
        <stp>1502</stp>
        <tr r="J14" s="1"/>
      </tp>
      <tp t="s">
        <v>System.Char[]</v>
        <stp/>
        <stp>127.0.0.1</stp>
        <stp>1</stp>
        <stp>N</stp>
        <stp>4134</stp>
        <stp>1</stp>
        <stp>PerRegister</stp>
        <stp>1502</stp>
        <tr r="J15" s="1"/>
      </tp>
      <tp t="s">
        <v>System.Char[]</v>
        <stp/>
        <stp>127.0.0.1</stp>
        <stp>1</stp>
        <stp>N</stp>
        <stp>4135</stp>
        <stp>1</stp>
        <stp>PerRegister</stp>
        <stp>1502</stp>
        <tr r="J16" s="1"/>
      </tp>
      <tp t="s">
        <v>System.Char[]</v>
        <stp/>
        <stp>127.0.0.1</stp>
        <stp>1</stp>
        <stp>N</stp>
        <stp>4136</stp>
        <stp>1</stp>
        <stp>PerRegister</stp>
        <stp>1502</stp>
        <tr r="J17" s="1"/>
      </tp>
      <tp t="s">
        <v>System.Char[]</v>
        <stp/>
        <stp>127.0.0.1</stp>
        <stp>1</stp>
        <stp>N</stp>
        <stp>4137</stp>
        <stp>1</stp>
        <stp>PerRegister</stp>
        <stp>1502</stp>
        <tr r="J18" s="1"/>
      </tp>
      <tp t="s">
        <v>System.Char[]</v>
        <stp/>
        <stp>127.0.0.1</stp>
        <stp>1</stp>
        <stp>N</stp>
        <stp>4126</stp>
        <stp>1</stp>
        <stp>PerRegister</stp>
        <stp>1502</stp>
        <tr r="J10" s="1"/>
      </tp>
      <tp t="s">
        <v>System.Char[]</v>
        <stp/>
        <stp>127.0.0.1</stp>
        <stp>1</stp>
        <stp>N</stp>
        <stp>4127</stp>
        <stp>1</stp>
        <stp>PerRegister</stp>
        <stp>1502</stp>
        <tr r="J11" s="1"/>
      </tp>
      <tp t="s">
        <v>System.Char[]</v>
        <stp/>
        <stp>127.0.0.1</stp>
        <stp>1</stp>
        <stp>N</stp>
        <stp>4114</stp>
        <stp>1</stp>
        <stp>PerRegister</stp>
        <stp>1502</stp>
        <tr r="J9" s="1"/>
      </tp>
      <tp t="s">
        <v>System.Char[]</v>
        <stp/>
        <stp>127.0.0.1</stp>
        <stp>1</stp>
        <stp>N</stp>
        <stp>4103</stp>
        <stp>1</stp>
        <stp>PerRegister</stp>
        <stp>1502</stp>
        <tr r="J5" s="1"/>
      </tp>
      <tp t="s">
        <v>System.Char[]</v>
        <stp/>
        <stp>127.0.0.1</stp>
        <stp>1</stp>
        <stp>N</stp>
        <stp>4104</stp>
        <stp>1</stp>
        <stp>PerRegister</stp>
        <stp>1502</stp>
        <tr r="J6" s="1"/>
      </tp>
      <tp t="s">
        <v>System.Char[]</v>
        <stp/>
        <stp>127.0.0.1</stp>
        <stp>1</stp>
        <stp>N</stp>
        <stp>4106</stp>
        <stp>1</stp>
        <stp>PerRegister</stp>
        <stp>1502</stp>
        <tr r="J7" s="1"/>
      </tp>
      <tp t="s">
        <v>System.Char[]</v>
        <stp/>
        <stp>127.0.0.1</stp>
        <stp>1</stp>
        <stp>N</stp>
        <stp>4107</stp>
        <stp>1</stp>
        <stp>PerRegister</stp>
        <stp>1502</stp>
        <tr r="J8" s="1"/>
      </tp>
      <tp t="s">
        <v>System.Char[]</v>
        <stp/>
        <stp>127.0.0.1</stp>
        <stp>1</stp>
        <stp>N</stp>
        <stp>5190</stp>
        <stp>1</stp>
        <stp>PerRegister</stp>
        <stp>1502</stp>
        <tr r="O22" s="1"/>
      </tp>
      <tp t="s">
        <v>System.Char[]</v>
        <stp/>
        <stp>127.0.0.1</stp>
        <stp>1</stp>
        <stp>N</stp>
        <stp>5191</stp>
        <stp>1</stp>
        <stp>PerRegister</stp>
        <stp>1502</stp>
        <tr r="O23" s="1"/>
      </tp>
      <tp t="s">
        <v>System.Char[]</v>
        <stp/>
        <stp>127.0.0.1</stp>
        <stp>1</stp>
        <stp>N</stp>
        <stp>5180</stp>
        <stp>1</stp>
        <stp>PerRegister</stp>
        <stp>1502</stp>
        <tr r="O15" s="1"/>
      </tp>
      <tp t="s">
        <v>System.Char[]</v>
        <stp/>
        <stp>127.0.0.1</stp>
        <stp>1</stp>
        <stp>N</stp>
        <stp>5182</stp>
        <stp>1</stp>
        <stp>PerRegister</stp>
        <stp>1502</stp>
        <tr r="O16" s="1"/>
      </tp>
      <tp t="s">
        <v>System.Char[]</v>
        <stp/>
        <stp>127.0.0.1</stp>
        <stp>1</stp>
        <stp>N</stp>
        <stp>5183</stp>
        <stp>1</stp>
        <stp>PerRegister</stp>
        <stp>1502</stp>
        <tr r="O17" s="1"/>
      </tp>
      <tp t="s">
        <v>System.Char[]</v>
        <stp/>
        <stp>127.0.0.1</stp>
        <stp>1</stp>
        <stp>N</stp>
        <stp>5184</stp>
        <stp>1</stp>
        <stp>PerRegister</stp>
        <stp>1502</stp>
        <tr r="O18" s="1"/>
      </tp>
      <tp t="s">
        <v>System.Char[]</v>
        <stp/>
        <stp>127.0.0.1</stp>
        <stp>1</stp>
        <stp>N</stp>
        <stp>5186</stp>
        <stp>1</stp>
        <stp>PerRegister</stp>
        <stp>1502</stp>
        <tr r="O19" s="1"/>
      </tp>
      <tp t="s">
        <v>System.Char[]</v>
        <stp/>
        <stp>127.0.0.1</stp>
        <stp>1</stp>
        <stp>N</stp>
        <stp>5187</stp>
        <stp>1</stp>
        <stp>PerRegister</stp>
        <stp>1502</stp>
        <tr r="O20" s="1"/>
      </tp>
      <tp t="s">
        <v>System.Char[]</v>
        <stp/>
        <stp>127.0.0.1</stp>
        <stp>1</stp>
        <stp>N</stp>
        <stp>5188</stp>
        <stp>1</stp>
        <stp>PerRegister</stp>
        <stp>1502</stp>
        <tr r="O21" s="1"/>
      </tp>
      <tp t="s">
        <v>System.Char[]</v>
        <stp/>
        <stp>127.0.0.1</stp>
        <stp>1</stp>
        <stp>N</stp>
        <stp>5178</stp>
        <stp>1</stp>
        <stp>PerRegister</stp>
        <stp>1502</stp>
        <tr r="O13" s="1"/>
      </tp>
      <tp t="s">
        <v>System.Char[]</v>
        <stp/>
        <stp>127.0.0.1</stp>
        <stp>1</stp>
        <stp>N</stp>
        <stp>5179</stp>
        <stp>1</stp>
        <stp>PerRegister</stp>
        <stp>1502</stp>
        <tr r="O14" s="1"/>
      </tp>
      <tp t="s">
        <v>System.Char[]</v>
        <stp/>
        <stp>127.0.0.1</stp>
        <stp>1</stp>
        <stp>N</stp>
        <stp>5162</stp>
        <stp>1</stp>
        <stp>PerRegister</stp>
        <stp>1502</stp>
        <tr r="O10" s="1"/>
      </tp>
      <tp t="s">
        <v>System.Char[]</v>
        <stp/>
        <stp>127.0.0.1</stp>
        <stp>1</stp>
        <stp>N</stp>
        <stp>5163</stp>
        <stp>1</stp>
        <stp>PerRegister</stp>
        <stp>1502</stp>
        <tr r="O11" s="1"/>
      </tp>
      <tp t="s">
        <v>System.Char[]</v>
        <stp/>
        <stp>127.0.0.1</stp>
        <stp>1</stp>
        <stp>N</stp>
        <stp>5164</stp>
        <stp>1</stp>
        <stp>PerRegister</stp>
        <stp>1502</stp>
        <tr r="O12" s="1"/>
      </tp>
      <tp t="s">
        <v>System.Char[]</v>
        <stp/>
        <stp>127.0.0.1</stp>
        <stp>1</stp>
        <stp>N</stp>
        <stp>5150</stp>
        <stp>1</stp>
        <stp>PerRegister</stp>
        <stp>1502</stp>
        <tr r="J36" s="1"/>
      </tp>
      <tp t="s">
        <v>System.Char[]</v>
        <stp/>
        <stp>127.0.0.1</stp>
        <stp>1</stp>
        <stp>N</stp>
        <stp>5151</stp>
        <stp>1</stp>
        <stp>PerRegister</stp>
        <stp>1502</stp>
        <tr r="O5" s="1"/>
      </tp>
      <tp t="s">
        <v>System.Char[]</v>
        <stp/>
        <stp>127.0.0.1</stp>
        <stp>1</stp>
        <stp>N</stp>
        <stp>5152</stp>
        <stp>1</stp>
        <stp>PerRegister</stp>
        <stp>1502</stp>
        <tr r="O6" s="1"/>
      </tp>
      <tp t="s">
        <v>System.Char[]</v>
        <stp/>
        <stp>127.0.0.1</stp>
        <stp>1</stp>
        <stp>N</stp>
        <stp>5154</stp>
        <stp>1</stp>
        <stp>PerRegister</stp>
        <stp>1502</stp>
        <tr r="O7" s="1"/>
      </tp>
      <tp t="s">
        <v>System.Char[]</v>
        <stp/>
        <stp>127.0.0.1</stp>
        <stp>1</stp>
        <stp>N</stp>
        <stp>5155</stp>
        <stp>1</stp>
        <stp>PerRegister</stp>
        <stp>1502</stp>
        <tr r="O8" s="1"/>
      </tp>
      <tp t="s">
        <v>System.Char[]</v>
        <stp/>
        <stp>127.0.0.1</stp>
        <stp>1</stp>
        <stp>N</stp>
        <stp>5156</stp>
        <stp>1</stp>
        <stp>PerRegister</stp>
        <stp>1502</stp>
        <tr r="O9" s="1"/>
      </tp>
      <tp t="s">
        <v>System.Char[]</v>
        <stp/>
        <stp>127.0.0.1</stp>
        <stp>1</stp>
        <stp>N</stp>
        <stp>5110</stp>
        <stp>1</stp>
        <stp>PerRegister</stp>
        <stp>1502</stp>
        <tr r="J30" s="1"/>
      </tp>
      <tp t="s">
        <v>System.Char[]</v>
        <stp/>
        <stp>127.0.0.1</stp>
        <stp>1</stp>
        <stp>N</stp>
        <stp>5111</stp>
        <stp>1</stp>
        <stp>PerRegister</stp>
        <stp>1502</stp>
        <tr r="J31" s="1"/>
      </tp>
      <tp t="s">
        <v>System.Char[]</v>
        <stp/>
        <stp>127.0.0.1</stp>
        <stp>1</stp>
        <stp>N</stp>
        <stp>5113</stp>
        <stp>1</stp>
        <stp>PerRegister</stp>
        <stp>1502</stp>
        <tr r="J32" s="1"/>
      </tp>
      <tp t="s">
        <v>System.Char[]</v>
        <stp/>
        <stp>127.0.0.1</stp>
        <stp>1</stp>
        <stp>N</stp>
        <stp>5114</stp>
        <stp>1</stp>
        <stp>PerRegister</stp>
        <stp>1502</stp>
        <tr r="J33" s="1"/>
      </tp>
      <tp t="s">
        <v>System.Char[]</v>
        <stp/>
        <stp>127.0.0.1</stp>
        <stp>1</stp>
        <stp>N</stp>
        <stp>5117</stp>
        <stp>1</stp>
        <stp>PerRegister</stp>
        <stp>1502</stp>
        <tr r="J34" s="1"/>
      </tp>
      <tp t="s">
        <v>System.Char[]</v>
        <stp/>
        <stp>127.0.0.1</stp>
        <stp>1</stp>
        <stp>N</stp>
        <stp>5119</stp>
        <stp>1</stp>
        <stp>PerRegister</stp>
        <stp>1502</stp>
        <tr r="J35" s="1"/>
      </tp>
      <tp t="s">
        <v>System.Char[]</v>
        <stp/>
        <stp>127.0.0.1</stp>
        <stp>1</stp>
        <stp>N</stp>
        <stp>5101</stp>
        <stp>1</stp>
        <stp>PerRegister</stp>
        <stp>1502</stp>
        <tr r="J23" s="1"/>
      </tp>
      <tp t="s">
        <v>System.Char[]</v>
        <stp/>
        <stp>127.0.0.1</stp>
        <stp>1</stp>
        <stp>N</stp>
        <stp>5102</stp>
        <stp>1</stp>
        <stp>PerRegister</stp>
        <stp>1502</stp>
        <tr r="J24" s="1"/>
      </tp>
      <tp t="s">
        <v>System.Char[]</v>
        <stp/>
        <stp>127.0.0.1</stp>
        <stp>1</stp>
        <stp>N</stp>
        <stp>5103</stp>
        <stp>1</stp>
        <stp>PerRegister</stp>
        <stp>1502</stp>
        <tr r="J25" s="1"/>
      </tp>
      <tp t="s">
        <v>System.Char[]</v>
        <stp/>
        <stp>127.0.0.1</stp>
        <stp>1</stp>
        <stp>N</stp>
        <stp>5105</stp>
        <stp>1</stp>
        <stp>PerRegister</stp>
        <stp>1502</stp>
        <tr r="J26" s="1"/>
      </tp>
      <tp t="s">
        <v>System.Char[]</v>
        <stp/>
        <stp>127.0.0.1</stp>
        <stp>1</stp>
        <stp>N</stp>
        <stp>5106</stp>
        <stp>1</stp>
        <stp>PerRegister</stp>
        <stp>1502</stp>
        <tr r="J27" s="1"/>
      </tp>
      <tp t="s">
        <v>System.Char[]</v>
        <stp/>
        <stp>127.0.0.1</stp>
        <stp>1</stp>
        <stp>N</stp>
        <stp>5107</stp>
        <stp>1</stp>
        <stp>PerRegister</stp>
        <stp>1502</stp>
        <tr r="J28" s="1"/>
      </tp>
      <tp t="s">
        <v>System.Char[]</v>
        <stp/>
        <stp>127.0.0.1</stp>
        <stp>1</stp>
        <stp>N</stp>
        <stp>5109</stp>
        <stp>1</stp>
        <stp>PerRegister</stp>
        <stp>1502</stp>
        <tr r="J29" s="1"/>
      </tp>
      <tp>
        <v>16896</v>
        <stp/>
        <stp>DebugLevel</stp>
        <stp>16896</stp>
        <stp/>
        <stp/>
        <stp/>
        <stp/>
        <tr r="C1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KSelvia\AppData\Local\Temp\DatabaseTableEdit_32x32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36244</xdr:rowOff>
    </xdr:from>
    <xdr:to>
      <xdr:col>0</xdr:col>
      <xdr:colOff>422394</xdr:colOff>
      <xdr:row>0</xdr:row>
      <xdr:rowOff>322866</xdr:rowOff>
    </xdr:to>
    <xdr:grpSp>
      <xdr:nvGrpSpPr>
        <xdr:cNvPr id="10" name="Group 9"/>
        <xdr:cNvGrpSpPr/>
      </xdr:nvGrpSpPr>
      <xdr:grpSpPr>
        <a:xfrm>
          <a:off x="142875" y="36244"/>
          <a:ext cx="279519" cy="286622"/>
          <a:chOff x="142875" y="36244"/>
          <a:chExt cx="279519" cy="286622"/>
        </a:xfrm>
      </xdr:grpSpPr>
      <xdr:pic macro="[0]!RTDSErverStopped_Click">
        <xdr:nvPicPr>
          <xdr:cNvPr id="3" name="RTDSErverStopped" descr="AvocadoGreen.png"/>
          <xdr:cNvPicPr>
            <a:picLocks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rgbClr val="FF0000">
                <a:tint val="45000"/>
                <a:satMod val="400000"/>
              </a:srgbClr>
            </a:duotone>
          </a:blip>
          <a:stretch>
            <a:fillRect/>
          </a:stretch>
        </xdr:blipFill>
        <xdr:spPr>
          <a:xfrm>
            <a:off x="148074" y="36244"/>
            <a:ext cx="274320" cy="274320"/>
          </a:xfrm>
          <a:prstGeom prst="rect">
            <a:avLst/>
          </a:prstGeom>
        </xdr:spPr>
      </xdr:pic>
      <xdr:grpSp>
        <xdr:nvGrpSpPr>
          <xdr:cNvPr id="6" name="Group 5"/>
          <xdr:cNvGrpSpPr/>
        </xdr:nvGrpSpPr>
        <xdr:grpSpPr>
          <a:xfrm>
            <a:off x="142875" y="47625"/>
            <a:ext cx="277019" cy="275241"/>
            <a:chOff x="142875" y="66675"/>
            <a:chExt cx="277019" cy="275241"/>
          </a:xfrm>
        </xdr:grpSpPr>
        <xdr:pic macro="[0]!RTDServerStarted_Click">
          <xdr:nvPicPr>
            <xdr:cNvPr id="7" name="RTDSErverStopp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rgbClr val="FF0000">
                  <a:tint val="45000"/>
                  <a:satMod val="400000"/>
                </a:srgbClr>
              </a:duotone>
            </a:blip>
            <a:stretch>
              <a:fillRect/>
            </a:stretch>
          </xdr:blipFill>
          <xdr:spPr>
            <a:xfrm>
              <a:off x="142875" y="66675"/>
              <a:ext cx="277019" cy="275241"/>
            </a:xfrm>
            <a:prstGeom prst="rect">
              <a:avLst/>
            </a:prstGeom>
          </xdr:spPr>
        </xdr:pic>
        <xdr:pic macro="[0]!RTDServerStarted_Click">
          <xdr:nvPicPr>
            <xdr:cNvPr id="8" name="RTDServerStart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142875" y="66675"/>
              <a:ext cx="273107" cy="27524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1333500</xdr:colOff>
      <xdr:row>0</xdr:row>
      <xdr:rowOff>0</xdr:rowOff>
    </xdr:from>
    <xdr:to>
      <xdr:col>1</xdr:col>
      <xdr:colOff>3969</xdr:colOff>
      <xdr:row>0</xdr:row>
      <xdr:rowOff>190500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333500" y="0"/>
          <a:ext cx="3969" cy="190500"/>
        </a:xfrm>
        <a:prstGeom prst="rect">
          <a:avLst/>
        </a:prstGeom>
      </xdr:spPr>
    </xdr:pic>
    <xdr:clientData/>
  </xdr:twoCellAnchor>
  <xdr:twoCellAnchor>
    <xdr:from>
      <xdr:col>0</xdr:col>
      <xdr:colOff>443544</xdr:colOff>
      <xdr:row>0</xdr:row>
      <xdr:rowOff>64819</xdr:rowOff>
    </xdr:from>
    <xdr:to>
      <xdr:col>0</xdr:col>
      <xdr:colOff>743962</xdr:colOff>
      <xdr:row>0</xdr:row>
      <xdr:rowOff>315197</xdr:rowOff>
    </xdr:to>
    <xdr:pic macro="[0]!RTDSErverStopped_Click">
      <xdr:nvPicPr>
        <xdr:cNvPr id="4" name="RTDServerStarted" descr="AvocadoGreen.png" hidden="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3544" y="64819"/>
          <a:ext cx="300418" cy="250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35"/>
  <sheetViews>
    <sheetView tabSelected="1" workbookViewId="0">
      <selection activeCell="D4" sqref="D4"/>
    </sheetView>
  </sheetViews>
  <sheetFormatPr defaultRowHeight="15" x14ac:dyDescent="0.25"/>
  <cols>
    <col min="1" max="1" width="9.140625" customWidth="1"/>
    <col min="2" max="2" width="42.5703125" style="4" customWidth="1"/>
    <col min="3" max="3" width="12" customWidth="1"/>
    <col min="4" max="4" width="12.7109375" customWidth="1"/>
    <col min="5" max="5" width="2.85546875" customWidth="1"/>
    <col min="6" max="6" width="1.28515625" customWidth="1"/>
    <col min="7" max="7" width="2.5703125" customWidth="1"/>
    <col min="8" max="8" width="33.85546875" customWidth="1"/>
    <col min="9" max="9" width="7.140625" customWidth="1"/>
    <col min="10" max="10" width="7.5703125" customWidth="1"/>
    <col min="11" max="11" width="1.7109375" customWidth="1"/>
    <col min="12" max="12" width="2" customWidth="1"/>
    <col min="13" max="13" width="27.85546875" customWidth="1"/>
    <col min="14" max="14" width="8.28515625" customWidth="1"/>
    <col min="15" max="15" width="7" customWidth="1"/>
    <col min="16" max="16" width="1.7109375" customWidth="1"/>
    <col min="17" max="17" width="2.5703125" customWidth="1"/>
    <col min="18" max="18" width="22.85546875" customWidth="1"/>
    <col min="19" max="19" width="7.85546875" customWidth="1"/>
    <col min="21" max="21" width="1.7109375" customWidth="1"/>
    <col min="22" max="22" width="2.7109375" customWidth="1"/>
    <col min="23" max="23" width="19.85546875" customWidth="1"/>
  </cols>
  <sheetData>
    <row r="1" spans="1:25" ht="33.75" customHeight="1" x14ac:dyDescent="0.25">
      <c r="A1" s="32" t="s">
        <v>1088</v>
      </c>
      <c r="B1" s="32"/>
      <c r="C1" s="2" t="s">
        <v>14</v>
      </c>
      <c r="D1" s="1"/>
      <c r="I1" s="24" t="s">
        <v>1086</v>
      </c>
    </row>
    <row r="2" spans="1:25" x14ac:dyDescent="0.25">
      <c r="A2" s="5" t="s">
        <v>4</v>
      </c>
      <c r="B2" s="5"/>
      <c r="C2" s="7">
        <f>RTD("modbusexcel.rtd",,"PollRate","0",,,)</f>
        <v>0</v>
      </c>
      <c r="D2" s="10" t="s">
        <v>10</v>
      </c>
    </row>
    <row r="3" spans="1:25" x14ac:dyDescent="0.25">
      <c r="A3" s="35" t="s">
        <v>3</v>
      </c>
      <c r="B3" s="34"/>
      <c r="C3" s="7">
        <f>RTD("modbusexcel.rtd",,"ExcelUpdateRate","2000",,,)</f>
        <v>2000</v>
      </c>
      <c r="D3" s="11" t="s">
        <v>1092</v>
      </c>
    </row>
    <row r="4" spans="1:25" x14ac:dyDescent="0.25">
      <c r="A4" s="35" t="s">
        <v>9</v>
      </c>
      <c r="B4" s="34"/>
      <c r="C4" s="7">
        <f>RTD("modbusexcel.rtd",,"SocketTimeout","180000",,,)</f>
        <v>180000</v>
      </c>
      <c r="D4" s="23" t="s">
        <v>11</v>
      </c>
      <c r="E4" s="25" t="s">
        <v>1089</v>
      </c>
      <c r="G4" s="26" t="s">
        <v>12</v>
      </c>
      <c r="H4" s="26" t="s">
        <v>41</v>
      </c>
      <c r="I4" s="27" t="s">
        <v>40</v>
      </c>
      <c r="J4" s="26" t="s">
        <v>1085</v>
      </c>
      <c r="K4" s="28"/>
      <c r="L4" s="26" t="s">
        <v>12</v>
      </c>
      <c r="M4" s="26" t="s">
        <v>41</v>
      </c>
      <c r="N4" s="27" t="s">
        <v>40</v>
      </c>
      <c r="O4" s="26" t="s">
        <v>1085</v>
      </c>
      <c r="P4" s="28"/>
      <c r="Q4" s="26" t="s">
        <v>12</v>
      </c>
      <c r="R4" s="26" t="s">
        <v>41</v>
      </c>
      <c r="S4" s="27" t="s">
        <v>40</v>
      </c>
      <c r="T4" s="26" t="s">
        <v>1085</v>
      </c>
      <c r="U4" s="28"/>
      <c r="V4" s="26" t="s">
        <v>12</v>
      </c>
      <c r="W4" s="26" t="s">
        <v>41</v>
      </c>
      <c r="X4" s="27" t="s">
        <v>40</v>
      </c>
      <c r="Y4" s="26" t="s">
        <v>1085</v>
      </c>
    </row>
    <row r="5" spans="1:25" x14ac:dyDescent="0.25">
      <c r="A5" s="5" t="s">
        <v>5</v>
      </c>
      <c r="B5" s="5"/>
      <c r="C5" s="7" t="str">
        <f>RTD("modbusexcel.rtd",,"DeleteCachedValues","false",,,)</f>
        <v>False</v>
      </c>
      <c r="D5" s="23" t="s">
        <v>12</v>
      </c>
      <c r="G5" s="28">
        <v>1</v>
      </c>
      <c r="H5" s="28" t="str">
        <f t="shared" ref="H5:H36" si="0">VLOOKUP(I5,RegDesc,2,FALSE)</f>
        <v>Meter #1 Last Batch Ended Date</v>
      </c>
      <c r="I5" s="28">
        <v>4103</v>
      </c>
      <c r="J5" s="28" t="str">
        <f>RTD("modbusexcel.rtd",,$A$17,$C$17,IF($E$4="n","D",$D$17),I5,G5,$D$3,$B$17)</f>
        <v>System.Char[]</v>
      </c>
      <c r="K5" s="28"/>
      <c r="L5" s="28">
        <v>1</v>
      </c>
      <c r="M5" s="28" t="str">
        <f t="shared" ref="M5:M36" si="1">VLOOKUP(N5,RegDesc,2,FALSE)</f>
        <v>Meter #1 Previous Batch 'n' Net Total</v>
      </c>
      <c r="N5" s="28">
        <v>5151</v>
      </c>
      <c r="O5" s="28" t="str">
        <f>RTD("modbusexcel.rtd",,$A$17,$C$17,IF($E$4="n","D",$D$17),N5,L5,$D$3,$B$17)</f>
        <v>System.Char[]</v>
      </c>
      <c r="P5" s="28"/>
      <c r="Q5" s="28">
        <v>1</v>
      </c>
      <c r="R5" s="28" t="str">
        <f t="shared" ref="R5:R36" si="2">VLOOKUP(S5,RegDesc,2,FALSE)</f>
        <v>Meter #1 VCF</v>
      </c>
      <c r="S5" s="28">
        <v>7116</v>
      </c>
      <c r="T5" s="28" t="str">
        <f>RTD("modbusexcel.rtd",,$A$17,$C$17,IF($E$4="n","D",$D$17),S5,Q5,$D$3,$B$17)</f>
        <v>System.Char[]</v>
      </c>
      <c r="U5" s="28"/>
      <c r="V5" s="28">
        <v>1</v>
      </c>
      <c r="W5" s="28" t="str">
        <f t="shared" ref="W5:W23" si="3">VLOOKUP(X5,RegDesc,2,FALSE)</f>
        <v>Meter #1 Prev Batch'n' Avg Unfactored Density</v>
      </c>
      <c r="X5" s="28">
        <v>8518</v>
      </c>
      <c r="Y5" s="28" t="str">
        <f>RTD("modbusexcel.rtd",,$A$17,$C$17,IF($E$4="n","D",$D$17),X5,V5,$D$3,$B$17)</f>
        <v>System.Char[]</v>
      </c>
    </row>
    <row r="6" spans="1:25" s="4" customFormat="1" x14ac:dyDescent="0.25">
      <c r="A6" s="35" t="s">
        <v>33</v>
      </c>
      <c r="B6" s="34"/>
      <c r="C6" s="9">
        <f>RTD("modbusexcel.rtd",,"maxread","300000",,,)</f>
        <v>300000</v>
      </c>
      <c r="D6" s="13"/>
      <c r="G6" s="28">
        <v>1</v>
      </c>
      <c r="H6" s="28" t="str">
        <f t="shared" si="0"/>
        <v>Meter #1 Last Batch Ended Time</v>
      </c>
      <c r="I6" s="28">
        <v>4104</v>
      </c>
      <c r="J6" s="28" t="str">
        <f>RTD("modbusexcel.rtd",,$A$17,$C$17,IF($E$4="n","D",$D$17),I6,G6,$D$3,$B$17)</f>
        <v>System.Char[]</v>
      </c>
      <c r="K6" s="28"/>
      <c r="L6" s="28">
        <v>1</v>
      </c>
      <c r="M6" s="28" t="str">
        <f t="shared" si="1"/>
        <v>Meter #1 Previous Batch 'n' Mass Total</v>
      </c>
      <c r="N6" s="28">
        <v>5152</v>
      </c>
      <c r="O6" s="28" t="str">
        <f>RTD("modbusexcel.rtd",,$A$17,$C$17,IF($E$4="n","D",$D$17),N6,L6,$D$3,$B$17)</f>
        <v>System.Char[]</v>
      </c>
      <c r="P6" s="28"/>
      <c r="Q6" s="28">
        <v>1</v>
      </c>
      <c r="R6" s="28" t="str">
        <f t="shared" si="2"/>
        <v>Meter #1 CPL</v>
      </c>
      <c r="S6" s="28">
        <v>7117</v>
      </c>
      <c r="T6" s="28" t="str">
        <f>RTD("modbusexcel.rtd",,$A$17,$C$17,IF($E$4="n","D",$D$17),S6,Q6,$D$3,$B$17)</f>
        <v>System.Char[]</v>
      </c>
      <c r="U6" s="28"/>
      <c r="V6" s="28">
        <v>1</v>
      </c>
      <c r="W6" s="28" t="str">
        <f t="shared" si="3"/>
        <v>Meter #1 Prev Batch'n' Avg API60</v>
      </c>
      <c r="X6" s="28">
        <v>8519</v>
      </c>
      <c r="Y6" s="28" t="str">
        <f>RTD("modbusexcel.rtd",,$A$17,$C$17,IF($E$4="n","D",$D$17),X6,V6,$D$3,$B$17)</f>
        <v>System.Char[]</v>
      </c>
    </row>
    <row r="7" spans="1:25" s="4" customFormat="1" x14ac:dyDescent="0.25">
      <c r="A7" s="35" t="s">
        <v>34</v>
      </c>
      <c r="B7" s="34"/>
      <c r="C7" s="9">
        <f>RTD("modbusexcel.rtd",,"minconnections","-1",,,)</f>
        <v>-1</v>
      </c>
      <c r="D7" s="13"/>
      <c r="G7" s="28">
        <v>1</v>
      </c>
      <c r="H7" s="28" t="str">
        <f t="shared" si="0"/>
        <v>Meter #1 Current Calculation Mode</v>
      </c>
      <c r="I7" s="28">
        <v>4106</v>
      </c>
      <c r="J7" s="28" t="str">
        <f>RTD("modbusexcel.rtd",,$A$17,$C$17,IF($E$4="n","D",$D$17),I7,G7,$D$3,$B$17)</f>
        <v>System.Char[]</v>
      </c>
      <c r="K7" s="28"/>
      <c r="L7" s="28">
        <v>1</v>
      </c>
      <c r="M7" s="28" t="str">
        <f t="shared" si="1"/>
        <v>Meter #1 Previous Day's Gross Total</v>
      </c>
      <c r="N7" s="28">
        <v>5154</v>
      </c>
      <c r="O7" s="28" t="str">
        <f>RTD("modbusexcel.rtd",,$A$17,$C$17,IF($E$4="n","D",$D$17),N7,L7,$D$3,$B$17)</f>
        <v>System.Char[]</v>
      </c>
      <c r="P7" s="28"/>
      <c r="Q7" s="28">
        <v>1</v>
      </c>
      <c r="R7" s="28" t="str">
        <f t="shared" si="2"/>
        <v>Meter #1 Current Batch Average Temperature</v>
      </c>
      <c r="S7" s="28">
        <v>7118</v>
      </c>
      <c r="T7" s="28" t="str">
        <f>RTD("modbusexcel.rtd",,$A$17,$C$17,IF($E$4="n","D",$D$17),S7,Q7,$D$3,$B$17)</f>
        <v>System.Char[]</v>
      </c>
      <c r="U7" s="28"/>
      <c r="V7" s="28">
        <v>1</v>
      </c>
      <c r="W7" s="28" t="str">
        <f t="shared" si="3"/>
        <v>Meter #1 Previous Daily Avg Temperature</v>
      </c>
      <c r="X7" s="28">
        <v>8531</v>
      </c>
      <c r="Y7" s="28" t="str">
        <f>RTD("modbusexcel.rtd",,$A$17,$C$17,IF($E$4="n","D",$D$17),X7,V7,$D$3,$B$17)</f>
        <v>System.Char[]</v>
      </c>
    </row>
    <row r="8" spans="1:25" s="4" customFormat="1" x14ac:dyDescent="0.25">
      <c r="A8" s="35" t="s">
        <v>31</v>
      </c>
      <c r="B8" s="34"/>
      <c r="C8" s="9">
        <f>RTD("modbusexcel.rtd",,"maxqueue","-1",,,)</f>
        <v>-1</v>
      </c>
      <c r="D8" s="13"/>
      <c r="G8" s="28">
        <v>1</v>
      </c>
      <c r="H8" s="28" t="str">
        <f t="shared" si="0"/>
        <v>Meter #1 Current Batch ID (Chars 1 - 8)</v>
      </c>
      <c r="I8" s="28">
        <v>4107</v>
      </c>
      <c r="J8" s="28" t="str">
        <f>RTD("modbusexcel.rtd",,$A$17,$C$17,IF($E$4="n","D",$D$17),I8,G8,$D$3,$B$17)</f>
        <v>System.Char[]</v>
      </c>
      <c r="K8" s="28"/>
      <c r="L8" s="28">
        <v>1</v>
      </c>
      <c r="M8" s="28" t="str">
        <f t="shared" si="1"/>
        <v>Meter #1 Previous Day's Net Total</v>
      </c>
      <c r="N8" s="28">
        <v>5155</v>
      </c>
      <c r="O8" s="28" t="str">
        <f>RTD("modbusexcel.rtd",,$A$17,$C$17,IF($E$4="n","D",$D$17),N8,L8,$D$3,$B$17)</f>
        <v>System.Char[]</v>
      </c>
      <c r="P8" s="28"/>
      <c r="Q8" s="28">
        <v>1</v>
      </c>
      <c r="R8" s="28" t="str">
        <f t="shared" si="2"/>
        <v>Meter #1 Current Batch Average Pressure</v>
      </c>
      <c r="S8" s="28">
        <v>7119</v>
      </c>
      <c r="T8" s="28" t="str">
        <f>RTD("modbusexcel.rtd",,$A$17,$C$17,IF($E$4="n","D",$D$17),S8,Q8,$D$3,$B$17)</f>
        <v>System.Char[]</v>
      </c>
      <c r="U8" s="28"/>
      <c r="V8" s="28">
        <v>1</v>
      </c>
      <c r="W8" s="28" t="str">
        <f t="shared" si="3"/>
        <v>Meter #1 Previous Daily Avg Pressure</v>
      </c>
      <c r="X8" s="28">
        <v>8532</v>
      </c>
      <c r="Y8" s="28" t="str">
        <f>RTD("modbusexcel.rtd",,$A$17,$C$17,IF($E$4="n","D",$D$17),X8,V8,$D$3,$B$17)</f>
        <v>System.Char[]</v>
      </c>
    </row>
    <row r="9" spans="1:25" s="4" customFormat="1" x14ac:dyDescent="0.25">
      <c r="A9" s="35" t="s">
        <v>35</v>
      </c>
      <c r="B9" s="34"/>
      <c r="C9" s="9">
        <f>RTD("modbusexcel.rtd",,"simulate","0",,,)</f>
        <v>0</v>
      </c>
      <c r="D9" s="13"/>
      <c r="G9" s="28">
        <v>1</v>
      </c>
      <c r="H9" s="28" t="str">
        <f t="shared" si="0"/>
        <v>Meter #1 Meter ID</v>
      </c>
      <c r="I9" s="28">
        <v>4114</v>
      </c>
      <c r="J9" s="28" t="str">
        <f>RTD("modbusexcel.rtd",,$A$17,$C$17,IF($E$4="n","D",$D$17),I9,G9,$D$3,$B$17)</f>
        <v>System.Char[]</v>
      </c>
      <c r="K9" s="28"/>
      <c r="L9" s="28">
        <v>1</v>
      </c>
      <c r="M9" s="28" t="str">
        <f t="shared" si="1"/>
        <v>Meter #1 Previous Day's Mass Total</v>
      </c>
      <c r="N9" s="28">
        <v>5156</v>
      </c>
      <c r="O9" s="28" t="str">
        <f>RTD("modbusexcel.rtd",,$A$17,$C$17,IF($E$4="n","D",$D$17),N9,L9,$D$3,$B$17)</f>
        <v>System.Char[]</v>
      </c>
      <c r="P9" s="28"/>
      <c r="Q9" s="28">
        <v>1</v>
      </c>
      <c r="R9" s="28" t="str">
        <f t="shared" si="2"/>
        <v>Meter #1 Current Batch Avg Density</v>
      </c>
      <c r="S9" s="28">
        <v>7120</v>
      </c>
      <c r="T9" s="28" t="str">
        <f>RTD("modbusexcel.rtd",,$A$17,$C$17,IF($E$4="n","D",$D$17),S9,Q9,$D$3,$B$17)</f>
        <v>System.Char[]</v>
      </c>
      <c r="U9" s="28"/>
      <c r="V9" s="28">
        <v>1</v>
      </c>
      <c r="W9" s="28" t="str">
        <f t="shared" si="3"/>
        <v>Meter #1 Previous Daily Avg Density</v>
      </c>
      <c r="X9" s="28">
        <v>8533</v>
      </c>
      <c r="Y9" s="28" t="str">
        <f>RTD("modbusexcel.rtd",,$A$17,$C$17,IF($E$4="n","D",$D$17),X9,V9,$D$3,$B$17)</f>
        <v>System.Char[]</v>
      </c>
    </row>
    <row r="10" spans="1:25" x14ac:dyDescent="0.25">
      <c r="A10" s="33" t="s">
        <v>6</v>
      </c>
      <c r="B10" s="34"/>
      <c r="C10" s="9">
        <f>RTD("modbusexcel.rtd",,"TopicCount",,,,,)</f>
        <v>115</v>
      </c>
      <c r="G10" s="28">
        <v>1</v>
      </c>
      <c r="H10" s="28" t="str">
        <f t="shared" si="0"/>
        <v>Meter #1 Day Start Time</v>
      </c>
      <c r="I10" s="28">
        <v>4126</v>
      </c>
      <c r="J10" s="28" t="str">
        <f>RTD("modbusexcel.rtd",,$A$17,$C$17,IF($E$4="n","D",$D$17),I10,G10,$D$3,$B$17)</f>
        <v>System.Char[]</v>
      </c>
      <c r="K10" s="28"/>
      <c r="L10" s="28">
        <v>1</v>
      </c>
      <c r="M10" s="28" t="str">
        <f t="shared" si="1"/>
        <v>Meter #1 Today's Opening Gross Total</v>
      </c>
      <c r="N10" s="28">
        <v>5162</v>
      </c>
      <c r="O10" s="28" t="str">
        <f>RTD("modbusexcel.rtd",,$A$17,$C$17,IF($E$4="n","D",$D$17),N10,L10,$D$3,$B$17)</f>
        <v>System.Char[]</v>
      </c>
      <c r="P10" s="28"/>
      <c r="Q10" s="28">
        <v>1</v>
      </c>
      <c r="R10" s="28" t="str">
        <f t="shared" si="2"/>
        <v>Meter #1 Current Batch Average API Flowing</v>
      </c>
      <c r="S10" s="28">
        <v>7123</v>
      </c>
      <c r="T10" s="28" t="str">
        <f>RTD("modbusexcel.rtd",,$A$17,$C$17,IF($E$4="n","D",$D$17),S10,Q10,$D$3,$B$17)</f>
        <v>System.Char[]</v>
      </c>
      <c r="U10" s="28"/>
      <c r="V10" s="28">
        <v>1</v>
      </c>
      <c r="W10" s="28" t="str">
        <f t="shared" si="3"/>
        <v>Meter #1 Previous Daily Avg VCF</v>
      </c>
      <c r="X10" s="28">
        <v>8534</v>
      </c>
      <c r="Y10" s="28" t="str">
        <f>RTD("modbusexcel.rtd",,$A$17,$C$17,IF($E$4="n","D",$D$17),X10,V10,$D$3,$B$17)</f>
        <v>System.Char[]</v>
      </c>
    </row>
    <row r="11" spans="1:25" s="4" customFormat="1" x14ac:dyDescent="0.25">
      <c r="A11" s="33" t="s">
        <v>32</v>
      </c>
      <c r="B11" s="34"/>
      <c r="C11" s="9">
        <f>RTD("modbusexcel.rtd",,"ReadPending",,,,,)</f>
        <v>0</v>
      </c>
      <c r="G11" s="28">
        <v>1</v>
      </c>
      <c r="H11" s="28" t="str">
        <f t="shared" si="0"/>
        <v>Meter #1 Day Start Date</v>
      </c>
      <c r="I11" s="28">
        <v>4127</v>
      </c>
      <c r="J11" s="28" t="str">
        <f>RTD("modbusexcel.rtd",,$A$17,$C$17,IF($E$4="n","D",$D$17),I11,G11,$D$3,$B$17)</f>
        <v>System.Char[]</v>
      </c>
      <c r="K11" s="28"/>
      <c r="L11" s="28">
        <v>1</v>
      </c>
      <c r="M11" s="28" t="str">
        <f t="shared" si="1"/>
        <v>Meter #1 Today's Opening Net Total</v>
      </c>
      <c r="N11" s="28">
        <v>5163</v>
      </c>
      <c r="O11" s="28" t="str">
        <f>RTD("modbusexcel.rtd",,$A$17,$C$17,IF($E$4="n","D",$D$17),N11,L11,$D$3,$B$17)</f>
        <v>System.Char[]</v>
      </c>
      <c r="P11" s="28"/>
      <c r="Q11" s="28">
        <v>1</v>
      </c>
      <c r="R11" s="28" t="str">
        <f t="shared" si="2"/>
        <v>Meter #1 Current Batch Average API60/API @ Ref T</v>
      </c>
      <c r="S11" s="28">
        <v>7124</v>
      </c>
      <c r="T11" s="28" t="str">
        <f>RTD("modbusexcel.rtd",,$A$17,$C$17,IF($E$4="n","D",$D$17),S11,Q11,$D$3,$B$17)</f>
        <v>System.Char[]</v>
      </c>
      <c r="U11" s="28"/>
      <c r="V11" s="28">
        <v>1</v>
      </c>
      <c r="W11" s="28" t="str">
        <f t="shared" si="3"/>
        <v>Meter #1 Previous Daily Avg CPL</v>
      </c>
      <c r="X11" s="28">
        <v>8535</v>
      </c>
      <c r="Y11" s="28" t="str">
        <f>RTD("modbusexcel.rtd",,$A$17,$C$17,IF($E$4="n","D",$D$17),X11,V11,$D$3,$B$17)</f>
        <v>System.Char[]</v>
      </c>
    </row>
    <row r="12" spans="1:25" s="4" customFormat="1" x14ac:dyDescent="0.25">
      <c r="A12" s="33" t="s">
        <v>30</v>
      </c>
      <c r="B12" s="34"/>
      <c r="C12" s="9">
        <f>RTD("modbusexcel.rtd",,"ConnectionPending",,,,,)</f>
        <v>0</v>
      </c>
      <c r="G12" s="28">
        <v>1</v>
      </c>
      <c r="H12" s="28" t="str">
        <f t="shared" si="0"/>
        <v>Meter #1 Previous Batch 'n' Batch Start Date</v>
      </c>
      <c r="I12" s="28">
        <v>4131</v>
      </c>
      <c r="J12" s="28" t="str">
        <f>RTD("modbusexcel.rtd",,$A$17,$C$17,IF($E$4="n","D",$D$17),I12,G12,$D$3,$B$17)</f>
        <v>System.Char[]</v>
      </c>
      <c r="K12" s="28"/>
      <c r="L12" s="28">
        <v>1</v>
      </c>
      <c r="M12" s="28" t="str">
        <f t="shared" si="1"/>
        <v>Meter #1 Today's Opening Mass Total</v>
      </c>
      <c r="N12" s="28">
        <v>5164</v>
      </c>
      <c r="O12" s="28" t="str">
        <f>RTD("modbusexcel.rtd",,$A$17,$C$17,IF($E$4="n","D",$D$17),N12,L12,$D$3,$B$17)</f>
        <v>System.Char[]</v>
      </c>
      <c r="P12" s="28"/>
      <c r="Q12" s="28">
        <v>1</v>
      </c>
      <c r="R12" s="28" t="str">
        <f t="shared" si="2"/>
        <v>Meter #1 Current Batch Average SG Flowing</v>
      </c>
      <c r="S12" s="28">
        <v>7125</v>
      </c>
      <c r="T12" s="28" t="str">
        <f>RTD("modbusexcel.rtd",,$A$17,$C$17,IF($E$4="n","D",$D$17),S12,Q12,$D$3,$B$17)</f>
        <v>System.Char[]</v>
      </c>
      <c r="U12" s="28"/>
      <c r="V12" s="28">
        <v>1</v>
      </c>
      <c r="W12" s="28" t="str">
        <f t="shared" si="3"/>
        <v>Meter #1 Previous Daily Avg Meter Factor</v>
      </c>
      <c r="X12" s="28">
        <v>8536</v>
      </c>
      <c r="Y12" s="28" t="str">
        <f>RTD("modbusexcel.rtd",,$A$17,$C$17,IF($E$4="n","D",$D$17),X12,V12,$D$3,$B$17)</f>
        <v>System.Char[]</v>
      </c>
    </row>
    <row r="13" spans="1:25" x14ac:dyDescent="0.25">
      <c r="A13" s="33" t="s">
        <v>7</v>
      </c>
      <c r="B13" s="34"/>
      <c r="C13" s="9">
        <f>RTD("modbusexcel.rtd",,"ConnectionCount",,,,,)</f>
        <v>115</v>
      </c>
      <c r="D13" s="4"/>
      <c r="G13" s="28">
        <v>1</v>
      </c>
      <c r="H13" s="28" t="str">
        <f t="shared" si="0"/>
        <v>Meter #1 Previous Batch 'n' Batch Start Time</v>
      </c>
      <c r="I13" s="28">
        <v>4132</v>
      </c>
      <c r="J13" s="28" t="str">
        <f>RTD("modbusexcel.rtd",,$A$17,$C$17,IF($E$4="n","D",$D$17),I13,G13,$D$3,$B$17)</f>
        <v>System.Char[]</v>
      </c>
      <c r="K13" s="28"/>
      <c r="L13" s="28">
        <v>1</v>
      </c>
      <c r="M13" s="28" t="str">
        <f t="shared" si="1"/>
        <v>Meter #1 Prev Batch 'n' - Opening Gross Total</v>
      </c>
      <c r="N13" s="28">
        <v>5178</v>
      </c>
      <c r="O13" s="28" t="str">
        <f>RTD("modbusexcel.rtd",,$A$17,$C$17,IF($E$4="n","D",$D$17),N13,L13,$D$3,$B$17)</f>
        <v>System.Char[]</v>
      </c>
      <c r="P13" s="28"/>
      <c r="Q13" s="28">
        <v>1</v>
      </c>
      <c r="R13" s="28" t="str">
        <f t="shared" si="2"/>
        <v>Meter #1 Current Batch Average SG60/Density@ Ref.T</v>
      </c>
      <c r="S13" s="28">
        <v>7126</v>
      </c>
      <c r="T13" s="28" t="str">
        <f>RTD("modbusexcel.rtd",,$A$17,$C$17,IF($E$4="n","D",$D$17),S13,Q13,$D$3,$B$17)</f>
        <v>System.Char[]</v>
      </c>
      <c r="U13" s="28"/>
      <c r="V13" s="28">
        <v>1</v>
      </c>
      <c r="W13" s="28" t="str">
        <f t="shared" si="3"/>
        <v>Meter #1 Previous Daily Avg SG</v>
      </c>
      <c r="X13" s="28">
        <v>8537</v>
      </c>
      <c r="Y13" s="28" t="str">
        <f>RTD("modbusexcel.rtd",,$A$17,$C$17,IF($E$4="n","D",$D$17),X13,V13,$D$3,$B$17)</f>
        <v>System.Char[]</v>
      </c>
    </row>
    <row r="14" spans="1:25" x14ac:dyDescent="0.25">
      <c r="A14" s="33" t="s">
        <v>8</v>
      </c>
      <c r="B14" s="34"/>
      <c r="C14" s="9" t="str">
        <f>RTD("modbusexcel.rtd",,"SendReceiveCount",,,,,)</f>
        <v>115/115</v>
      </c>
      <c r="D14" s="4"/>
      <c r="G14" s="28">
        <v>1</v>
      </c>
      <c r="H14" s="28" t="str">
        <f t="shared" si="0"/>
        <v>Meter #1 Previous Batch 'n' Batch End Date</v>
      </c>
      <c r="I14" s="28">
        <v>4133</v>
      </c>
      <c r="J14" s="28" t="str">
        <f>RTD("modbusexcel.rtd",,$A$17,$C$17,IF($E$4="n","D",$D$17),I14,G14,$D$3,$B$17)</f>
        <v>System.Char[]</v>
      </c>
      <c r="K14" s="28"/>
      <c r="L14" s="28">
        <v>1</v>
      </c>
      <c r="M14" s="28" t="str">
        <f t="shared" si="1"/>
        <v>Meter #1 Prev Batch 'n' - Opening Net Total</v>
      </c>
      <c r="N14" s="28">
        <v>5179</v>
      </c>
      <c r="O14" s="28" t="str">
        <f>RTD("modbusexcel.rtd",,$A$17,$C$17,IF($E$4="n","D",$D$17),N14,L14,$D$3,$B$17)</f>
        <v>System.Char[]</v>
      </c>
      <c r="P14" s="28"/>
      <c r="Q14" s="28">
        <v>1</v>
      </c>
      <c r="R14" s="28" t="str">
        <f t="shared" si="2"/>
        <v>Meter #1 Current Batch Average VCF</v>
      </c>
      <c r="S14" s="28">
        <v>7127</v>
      </c>
      <c r="T14" s="28" t="str">
        <f>RTD("modbusexcel.rtd",,$A$17,$C$17,IF($E$4="n","D",$D$17),S14,Q14,$D$3,$B$17)</f>
        <v>System.Char[]</v>
      </c>
      <c r="U14" s="28"/>
      <c r="V14" s="28">
        <v>1</v>
      </c>
      <c r="W14" s="28" t="str">
        <f t="shared" si="3"/>
        <v>Meter #1 Previous Daily Avg SG60/Den@Ref.T</v>
      </c>
      <c r="X14" s="28">
        <v>8538</v>
      </c>
      <c r="Y14" s="28" t="str">
        <f>RTD("modbusexcel.rtd",,$A$17,$C$17,IF($E$4="n","D",$D$17),X14,V14,$D$3,$B$17)</f>
        <v>System.Char[]</v>
      </c>
    </row>
    <row r="15" spans="1:25" x14ac:dyDescent="0.25">
      <c r="A15" s="33" t="s">
        <v>38</v>
      </c>
      <c r="B15" s="34"/>
      <c r="C15" s="19">
        <f>RTD("modbusexcel.rtd",,"DebugLevel",LogLevel,,,,)</f>
        <v>16896</v>
      </c>
      <c r="D15" s="8"/>
      <c r="G15" s="28">
        <v>1</v>
      </c>
      <c r="H15" s="28" t="str">
        <f t="shared" si="0"/>
        <v>Meter #1 Previous Batch 'n' Batch End Time</v>
      </c>
      <c r="I15" s="28">
        <v>4134</v>
      </c>
      <c r="J15" s="28" t="str">
        <f>RTD("modbusexcel.rtd",,$A$17,$C$17,IF($E$4="n","D",$D$17),I15,G15,$D$3,$B$17)</f>
        <v>System.Char[]</v>
      </c>
      <c r="K15" s="28"/>
      <c r="L15" s="28">
        <v>1</v>
      </c>
      <c r="M15" s="28" t="str">
        <f t="shared" si="1"/>
        <v>Meter #1 Prev Batch 'n' - Opening Mass Total</v>
      </c>
      <c r="N15" s="28">
        <v>5180</v>
      </c>
      <c r="O15" s="28" t="str">
        <f>RTD("modbusexcel.rtd",,$A$17,$C$17,IF($E$4="n","D",$D$17),N15,L15,$D$3,$B$17)</f>
        <v>System.Char[]</v>
      </c>
      <c r="P15" s="28"/>
      <c r="Q15" s="28">
        <v>1</v>
      </c>
      <c r="R15" s="28" t="str">
        <f t="shared" si="2"/>
        <v>Meter #1 Current Batch Average CPL</v>
      </c>
      <c r="S15" s="28">
        <v>7128</v>
      </c>
      <c r="T15" s="28" t="str">
        <f>RTD("modbusexcel.rtd",,$A$17,$C$17,IF($E$4="n","D",$D$17),S15,Q15,$D$3,$B$17)</f>
        <v>System.Char[]</v>
      </c>
      <c r="U15" s="28"/>
      <c r="V15" s="28">
        <v>1</v>
      </c>
      <c r="W15" s="28" t="str">
        <f t="shared" si="3"/>
        <v>Meter #1 Previous Daily Avg Density Temperature</v>
      </c>
      <c r="X15" s="28">
        <v>8539</v>
      </c>
      <c r="Y15" s="28" t="str">
        <f>RTD("modbusexcel.rtd",,$A$17,$C$17,IF($E$4="n","D",$D$17),X15,V15,$D$3,$B$17)</f>
        <v>System.Char[]</v>
      </c>
    </row>
    <row r="16" spans="1:25" ht="15" customHeight="1" thickBot="1" x14ac:dyDescent="0.3">
      <c r="A16" s="6" t="s">
        <v>0</v>
      </c>
      <c r="B16" s="6" t="s">
        <v>29</v>
      </c>
      <c r="C16" s="6" t="s">
        <v>1</v>
      </c>
      <c r="D16" s="6" t="s">
        <v>2</v>
      </c>
      <c r="G16" s="28">
        <v>1</v>
      </c>
      <c r="H16" s="28" t="str">
        <f t="shared" si="0"/>
        <v>Meter #1 Previous Batch 'n' Product Name</v>
      </c>
      <c r="I16" s="28">
        <v>4135</v>
      </c>
      <c r="J16" s="28" t="str">
        <f>RTD("modbusexcel.rtd",,$A$17,$C$17,IF($E$4="n","D",$D$17),I16,G16,$D$3,$B$17)</f>
        <v>System.Char[]</v>
      </c>
      <c r="K16" s="28"/>
      <c r="L16" s="28">
        <v>1</v>
      </c>
      <c r="M16" s="28" t="str">
        <f t="shared" si="1"/>
        <v>Meter #1 Previous Day's - Opening Gross Total</v>
      </c>
      <c r="N16" s="28">
        <v>5182</v>
      </c>
      <c r="O16" s="28" t="str">
        <f>RTD("modbusexcel.rtd",,$A$17,$C$17,IF($E$4="n","D",$D$17),N16,L16,$D$3,$B$17)</f>
        <v>System.Char[]</v>
      </c>
      <c r="P16" s="28"/>
      <c r="Q16" s="28">
        <v>1</v>
      </c>
      <c r="R16" s="28" t="str">
        <f t="shared" si="2"/>
        <v>Meter #1 Daily Average Temperature</v>
      </c>
      <c r="S16" s="28">
        <v>7129</v>
      </c>
      <c r="T16" s="28" t="str">
        <f>RTD("modbusexcel.rtd",,$A$17,$C$17,IF($E$4="n","D",$D$17),S16,Q16,$D$3,$B$17)</f>
        <v>System.Char[]</v>
      </c>
      <c r="U16" s="28"/>
      <c r="V16" s="28">
        <v>1</v>
      </c>
      <c r="W16" s="28" t="str">
        <f t="shared" si="3"/>
        <v>Meter #1 Previous Daily Avg Density Pressure</v>
      </c>
      <c r="X16" s="28">
        <v>8540</v>
      </c>
      <c r="Y16" s="28" t="str">
        <f>RTD("modbusexcel.rtd",,$A$17,$C$17,IF($E$4="n","D",$D$17),X16,V16,$D$3,$B$17)</f>
        <v>System.Char[]</v>
      </c>
    </row>
    <row r="17" spans="1:25" ht="15" customHeight="1" thickTop="1" x14ac:dyDescent="0.25">
      <c r="A17" s="12" t="s">
        <v>15</v>
      </c>
      <c r="B17" s="12">
        <v>1502</v>
      </c>
      <c r="C17" s="3">
        <v>1</v>
      </c>
      <c r="D17" s="3" t="s">
        <v>13</v>
      </c>
      <c r="G17" s="28">
        <v>1</v>
      </c>
      <c r="H17" s="28" t="str">
        <f t="shared" si="0"/>
        <v>Meter #1 Previous Batch 'n' Calculation Mode</v>
      </c>
      <c r="I17" s="28">
        <v>4136</v>
      </c>
      <c r="J17" s="28" t="str">
        <f>RTD("modbusexcel.rtd",,$A$17,$C$17,IF($E$4="n","D",$D$17),I17,G17,$D$3,$B$17)</f>
        <v>System.Char[]</v>
      </c>
      <c r="K17" s="28"/>
      <c r="L17" s="28">
        <v>1</v>
      </c>
      <c r="M17" s="28" t="str">
        <f t="shared" si="1"/>
        <v>Meter #1 Previous Day's - Opening Net Total</v>
      </c>
      <c r="N17" s="28">
        <v>5183</v>
      </c>
      <c r="O17" s="28" t="str">
        <f>RTD("modbusexcel.rtd",,$A$17,$C$17,IF($E$4="n","D",$D$17),N17,L17,$D$3,$B$17)</f>
        <v>System.Char[]</v>
      </c>
      <c r="P17" s="28"/>
      <c r="Q17" s="28">
        <v>1</v>
      </c>
      <c r="R17" s="28" t="str">
        <f t="shared" si="2"/>
        <v>Meter #1 Daily Average Pressure</v>
      </c>
      <c r="S17" s="28">
        <v>7130</v>
      </c>
      <c r="T17" s="28" t="str">
        <f>RTD("modbusexcel.rtd",,$A$17,$C$17,IF($E$4="n","D",$D$17),S17,Q17,$D$3,$B$17)</f>
        <v>System.Char[]</v>
      </c>
      <c r="U17" s="28"/>
      <c r="V17" s="28">
        <v>1</v>
      </c>
      <c r="W17" s="28" t="str">
        <f t="shared" si="3"/>
        <v>Meter #1 Previous Daily Avg Density</v>
      </c>
      <c r="X17" s="28">
        <v>8541</v>
      </c>
      <c r="Y17" s="28" t="str">
        <f>RTD("modbusexcel.rtd",,$A$17,$C$17,IF($E$4="n","D",$D$17),X17,V17,$D$3,$B$17)</f>
        <v>System.Char[]</v>
      </c>
    </row>
    <row r="18" spans="1:25" x14ac:dyDescent="0.25">
      <c r="G18" s="28">
        <v>1</v>
      </c>
      <c r="H18" s="28" t="str">
        <f t="shared" si="0"/>
        <v>Meter #1 Previous Batch 'n' Batch ID (Chars 1 - 8)</v>
      </c>
      <c r="I18" s="28">
        <v>4137</v>
      </c>
      <c r="J18" s="28" t="str">
        <f>RTD("modbusexcel.rtd",,$A$17,$C$17,IF($E$4="n","D",$D$17),I18,G18,$D$3,$B$17)</f>
        <v>System.Char[]</v>
      </c>
      <c r="K18" s="28"/>
      <c r="L18" s="28">
        <v>1</v>
      </c>
      <c r="M18" s="28" t="str">
        <f t="shared" si="1"/>
        <v>Meter #1 Previous Day's - Opening Mass Total</v>
      </c>
      <c r="N18" s="28">
        <v>5184</v>
      </c>
      <c r="O18" s="28" t="str">
        <f>RTD("modbusexcel.rtd",,$A$17,$C$17,IF($E$4="n","D",$D$17),N18,L18,$D$3,$B$17)</f>
        <v>System.Char[]</v>
      </c>
      <c r="P18" s="28"/>
      <c r="Q18" s="28">
        <v>1</v>
      </c>
      <c r="R18" s="28" t="str">
        <f t="shared" si="2"/>
        <v>Meter #1 Current K Factor</v>
      </c>
      <c r="S18" s="28">
        <v>7140</v>
      </c>
      <c r="T18" s="28" t="str">
        <f>RTD("modbusexcel.rtd",,$A$17,$C$17,IF($E$4="n","D",$D$17),S18,Q18,$D$3,$B$17)</f>
        <v>System.Char[]</v>
      </c>
      <c r="U18" s="28"/>
      <c r="V18" s="28">
        <v>1</v>
      </c>
      <c r="W18" s="28" t="str">
        <f t="shared" si="3"/>
        <v>Meter #1 Previous Daily Avg Orifice Diameter</v>
      </c>
      <c r="X18" s="28">
        <v>8542</v>
      </c>
      <c r="Y18" s="28" t="str">
        <f>RTD("modbusexcel.rtd",,$A$17,$C$17,IF($E$4="n","D",$D$17),X18,V18,$D$3,$B$17)</f>
        <v>System.Char[]</v>
      </c>
    </row>
    <row r="19" spans="1:25" x14ac:dyDescent="0.25">
      <c r="A19" s="29"/>
      <c r="B19" s="29"/>
      <c r="C19" s="30"/>
      <c r="D19" s="29"/>
      <c r="G19" s="28">
        <v>1</v>
      </c>
      <c r="H19" s="28" t="str">
        <f t="shared" si="0"/>
        <v>Meter #1 Previous Day Start Time</v>
      </c>
      <c r="I19" s="28">
        <v>4140</v>
      </c>
      <c r="J19" s="28" t="str">
        <f>RTD("modbusexcel.rtd",,$A$17,$C$17,IF($E$4="n","D",$D$17),I19,G19,$D$3,$B$17)</f>
        <v>System.Char[]</v>
      </c>
      <c r="K19" s="28"/>
      <c r="L19" s="28">
        <v>1</v>
      </c>
      <c r="M19" s="28" t="str">
        <f t="shared" si="1"/>
        <v>Meter #1 Prev Batch 'n' - Closing Gross Total</v>
      </c>
      <c r="N19" s="28">
        <v>5186</v>
      </c>
      <c r="O19" s="28" t="str">
        <f>RTD("modbusexcel.rtd",,$A$17,$C$17,IF($E$4="n","D",$D$17),N19,L19,$D$3,$B$17)</f>
        <v>System.Char[]</v>
      </c>
      <c r="P19" s="28"/>
      <c r="Q19" s="28">
        <v>1</v>
      </c>
      <c r="R19" s="28" t="str">
        <f t="shared" si="2"/>
        <v>Meter #1 Densitometer Factor in Use</v>
      </c>
      <c r="S19" s="28">
        <v>7143</v>
      </c>
      <c r="T19" s="28" t="str">
        <f>RTD("modbusexcel.rtd",,$A$17,$C$17,IF($E$4="n","D",$D$17),S19,Q19,$D$3,$B$17)</f>
        <v>System.Char[]</v>
      </c>
      <c r="U19" s="28"/>
      <c r="V19" s="28">
        <v>1</v>
      </c>
      <c r="W19" s="28" t="str">
        <f t="shared" si="3"/>
        <v>Meter #1 Previous Daily Avg Pipe Diameter</v>
      </c>
      <c r="X19" s="28">
        <v>8543</v>
      </c>
      <c r="Y19" s="28" t="str">
        <f>RTD("modbusexcel.rtd",,$A$17,$C$17,IF($E$4="n","D",$D$17),X19,V19,$D$3,$B$17)</f>
        <v>System.Char[]</v>
      </c>
    </row>
    <row r="20" spans="1:25" x14ac:dyDescent="0.25">
      <c r="A20" s="29"/>
      <c r="B20" s="29"/>
      <c r="C20" s="29"/>
      <c r="D20" s="29"/>
      <c r="E20" s="4"/>
      <c r="G20" s="28">
        <v>1</v>
      </c>
      <c r="H20" s="28" t="str">
        <f t="shared" si="0"/>
        <v>Meter #1 Previous Day Start Date</v>
      </c>
      <c r="I20" s="28">
        <v>4141</v>
      </c>
      <c r="J20" s="28" t="str">
        <f>RTD("modbusexcel.rtd",,$A$17,$C$17,IF($E$4="n","D",$D$17),I20,G20,$D$3,$B$17)</f>
        <v>System.Char[]</v>
      </c>
      <c r="K20" s="28"/>
      <c r="L20" s="28">
        <v>1</v>
      </c>
      <c r="M20" s="28" t="str">
        <f t="shared" si="1"/>
        <v>Meter #1 Prev Batch 'n' - Closing Net Total</v>
      </c>
      <c r="N20" s="28">
        <v>5187</v>
      </c>
      <c r="O20" s="28" t="str">
        <f>RTD("modbusexcel.rtd",,$A$17,$C$17,IF($E$4="n","D",$D$17),N20,L20,$D$3,$B$17)</f>
        <v>System.Char[]</v>
      </c>
      <c r="P20" s="28"/>
      <c r="Q20" s="28">
        <v>1</v>
      </c>
      <c r="R20" s="28" t="str">
        <f t="shared" si="2"/>
        <v>Meter #1 Dens Const #1 (K0/K0/D0/K0)</v>
      </c>
      <c r="S20" s="28">
        <v>7189</v>
      </c>
      <c r="T20" s="28" t="str">
        <f>RTD("modbusexcel.rtd",,$A$17,$C$17,IF($E$4="n","D",$D$17),S20,Q20,$D$3,$B$17)</f>
        <v>System.Char[]</v>
      </c>
      <c r="U20" s="28"/>
      <c r="V20" s="28">
        <v>1</v>
      </c>
      <c r="W20" s="28" t="str">
        <f t="shared" si="3"/>
        <v>Meter #1 Previous Daily Avg Expansion Factor Y</v>
      </c>
      <c r="X20" s="28">
        <v>8546</v>
      </c>
      <c r="Y20" s="28" t="str">
        <f>RTD("modbusexcel.rtd",,$A$17,$C$17,IF($E$4="n","D",$D$17),X20,V20,$D$3,$B$17)</f>
        <v>System.Char[]</v>
      </c>
    </row>
    <row r="21" spans="1:25" x14ac:dyDescent="0.25">
      <c r="A21" s="4"/>
      <c r="C21" s="4"/>
      <c r="D21" s="4"/>
      <c r="G21" s="28">
        <v>1</v>
      </c>
      <c r="H21" s="28" t="str">
        <f t="shared" si="0"/>
        <v>Meter #1 Previous Day End Time</v>
      </c>
      <c r="I21" s="28">
        <v>4142</v>
      </c>
      <c r="J21" s="28" t="str">
        <f>RTD("modbusexcel.rtd",,$A$17,$C$17,IF($E$4="n","D",$D$17),I21,G21,$D$3,$B$17)</f>
        <v>System.Char[]</v>
      </c>
      <c r="K21" s="28"/>
      <c r="L21" s="28">
        <v>1</v>
      </c>
      <c r="M21" s="28" t="str">
        <f t="shared" si="1"/>
        <v>Meter #1 Prev Batch 'n' - Closing Mass Total</v>
      </c>
      <c r="N21" s="28">
        <v>5188</v>
      </c>
      <c r="O21" s="28" t="str">
        <f>RTD("modbusexcel.rtd",,$A$17,$C$17,IF($E$4="n","D",$D$17),N21,L21,$D$3,$B$17)</f>
        <v>System.Char[]</v>
      </c>
      <c r="P21" s="28"/>
      <c r="Q21" s="28">
        <v>1</v>
      </c>
      <c r="R21" s="28" t="str">
        <f t="shared" si="2"/>
        <v>Meter #1 Equilibrium Pressure</v>
      </c>
      <c r="S21" s="28">
        <v>7624</v>
      </c>
      <c r="T21" s="28" t="str">
        <f>RTD("modbusexcel.rtd",,$A$17,$C$17,IF($E$4="n","D",$D$17),S21,Q21,$D$3,$B$17)</f>
        <v>System.Char[]</v>
      </c>
      <c r="U21" s="28"/>
      <c r="V21" s="28">
        <v>1</v>
      </c>
      <c r="W21" s="28" t="str">
        <f t="shared" si="3"/>
        <v>Meter #1 Previous Daily Avg Unfactored Density</v>
      </c>
      <c r="X21" s="28">
        <v>8548</v>
      </c>
      <c r="Y21" s="28" t="str">
        <f>RTD("modbusexcel.rtd",,$A$17,$C$17,IF($E$4="n","D",$D$17),X21,V21,$D$3,$B$17)</f>
        <v>System.Char[]</v>
      </c>
    </row>
    <row r="22" spans="1:25" x14ac:dyDescent="0.25">
      <c r="A22" s="4"/>
      <c r="C22" s="4"/>
      <c r="D22" s="4"/>
      <c r="G22" s="28">
        <v>1</v>
      </c>
      <c r="H22" s="28" t="str">
        <f t="shared" si="0"/>
        <v>Meter #1 Previous Day End Date</v>
      </c>
      <c r="I22" s="28">
        <v>4143</v>
      </c>
      <c r="J22" s="28" t="str">
        <f>RTD("modbusexcel.rtd",,$A$17,$C$17,IF($E$4="n","D",$D$17),I22,G22,$D$3,$B$17)</f>
        <v>System.Char[]</v>
      </c>
      <c r="K22" s="28"/>
      <c r="L22" s="28">
        <v>1</v>
      </c>
      <c r="M22" s="28" t="str">
        <f t="shared" si="1"/>
        <v>Meter #1 Previous Batch 'n' - Batch Number</v>
      </c>
      <c r="N22" s="28">
        <v>5190</v>
      </c>
      <c r="O22" s="28" t="str">
        <f>RTD("modbusexcel.rtd",,$A$17,$C$17,IF($E$4="n","D",$D$17),N22,L22,$D$3,$B$17)</f>
        <v>System.Char[]</v>
      </c>
      <c r="P22" s="28"/>
      <c r="Q22" s="28">
        <v>1</v>
      </c>
      <c r="R22" s="28" t="str">
        <f t="shared" si="2"/>
        <v>Meter #1 Meter Factor</v>
      </c>
      <c r="S22" s="28">
        <v>7796</v>
      </c>
      <c r="T22" s="28" t="str">
        <f>RTD("modbusexcel.rtd",,$A$17,$C$17,IF($E$4="n","D",$D$17),S22,Q22,$D$3,$B$17)</f>
        <v>System.Char[]</v>
      </c>
      <c r="U22" s="28"/>
      <c r="V22" s="28">
        <v>1</v>
      </c>
      <c r="W22" s="28" t="str">
        <f t="shared" si="3"/>
        <v>Meter #1 Current Batch Avg DensityCorrectionFactor</v>
      </c>
      <c r="X22" s="28">
        <v>8561</v>
      </c>
      <c r="Y22" s="28" t="str">
        <f>RTD("modbusexcel.rtd",,$A$17,$C$17,IF($E$4="n","D",$D$17),X22,V22,$D$3,$B$17)</f>
        <v>System.Char[]</v>
      </c>
    </row>
    <row r="23" spans="1:25" x14ac:dyDescent="0.25">
      <c r="A23" s="4"/>
      <c r="C23" s="4"/>
      <c r="D23" s="4"/>
      <c r="G23" s="28">
        <v>1</v>
      </c>
      <c r="H23" s="28" t="str">
        <f t="shared" si="0"/>
        <v>Meter #1 Batch in Progress - Gross Total</v>
      </c>
      <c r="I23" s="28">
        <v>5101</v>
      </c>
      <c r="J23" s="28" t="str">
        <f>RTD("modbusexcel.rtd",,$A$17,$C$17,IF($E$4="n","D",$D$17),I23,G23,$D$3,$B$17)</f>
        <v>System.Char[]</v>
      </c>
      <c r="K23" s="28"/>
      <c r="L23" s="28">
        <v>1</v>
      </c>
      <c r="M23" s="28" t="str">
        <f t="shared" si="1"/>
        <v>Meter #1 Previous Batch 'n' - Product Number</v>
      </c>
      <c r="N23" s="28">
        <v>5191</v>
      </c>
      <c r="O23" s="28" t="str">
        <f>RTD("modbusexcel.rtd",,$A$17,$C$17,IF($E$4="n","D",$D$17),N23,L23,$D$3,$B$17)</f>
        <v>System.Char[]</v>
      </c>
      <c r="P23" s="28"/>
      <c r="Q23" s="28">
        <v>1</v>
      </c>
      <c r="R23" s="28" t="str">
        <f t="shared" si="2"/>
        <v>Meter #1 Previous Batch 'n' Avg Temperature</v>
      </c>
      <c r="S23" s="28">
        <v>8501</v>
      </c>
      <c r="T23" s="28" t="str">
        <f>RTD("modbusexcel.rtd",,$A$17,$C$17,IF($E$4="n","D",$D$17),S23,Q23,$D$3,$B$17)</f>
        <v>System.Char[]</v>
      </c>
      <c r="U23" s="28"/>
      <c r="V23" s="28">
        <v>1</v>
      </c>
      <c r="W23" s="28" t="str">
        <f t="shared" si="3"/>
        <v>Meter #1 Current Batch Avg Unfactored Density</v>
      </c>
      <c r="X23" s="28">
        <v>8563</v>
      </c>
      <c r="Y23" s="28" t="str">
        <f>RTD("modbusexcel.rtd",,$A$17,$C$17,IF($E$4="n","D",$D$17),X23,V23,$D$3,$B$17)</f>
        <v>System.Char[]</v>
      </c>
    </row>
    <row r="24" spans="1:25" x14ac:dyDescent="0.25">
      <c r="A24" s="4"/>
      <c r="C24" s="4"/>
      <c r="D24" s="4"/>
      <c r="G24" s="28">
        <v>1</v>
      </c>
      <c r="H24" s="28" t="str">
        <f t="shared" si="0"/>
        <v>Meter Run #1 Batch In Progress Net (GSV) Totalizer</v>
      </c>
      <c r="I24" s="28">
        <v>5102</v>
      </c>
      <c r="J24" s="28" t="str">
        <f>RTD("modbusexcel.rtd",,$A$17,$C$17,IF($E$4="n","D",$D$17),I24,G24,$D$3,$B$17)</f>
        <v>System.Char[]</v>
      </c>
      <c r="K24" s="28"/>
      <c r="L24" s="28">
        <v>1</v>
      </c>
      <c r="M24" s="28" t="str">
        <f t="shared" si="1"/>
        <v>Meter Run #1 Flow Rate - Gross (IV)</v>
      </c>
      <c r="N24" s="28">
        <v>7101</v>
      </c>
      <c r="O24" s="28" t="str">
        <f>RTD("modbusexcel.rtd",,$A$17,$C$17,IF($E$4="n","D",$D$17),N24,L24,$D$3,$B$17)</f>
        <v>System.Char[]</v>
      </c>
      <c r="P24" s="28"/>
      <c r="Q24" s="28">
        <v>1</v>
      </c>
      <c r="R24" s="28" t="str">
        <f t="shared" si="2"/>
        <v>Meter #1 Previous Batch 'n' Avg Pressure</v>
      </c>
      <c r="S24" s="28">
        <v>8502</v>
      </c>
      <c r="T24" s="28" t="str">
        <f>RTD("modbusexcel.rtd",,$A$17,$C$17,IF($E$4="n","D",$D$17),S24,Q24,$D$3,$B$17)</f>
        <v>System.Char[]</v>
      </c>
      <c r="U24" s="28"/>
      <c r="V24" s="28"/>
      <c r="W24" s="28"/>
      <c r="X24" s="28"/>
      <c r="Y24" s="28"/>
    </row>
    <row r="25" spans="1:25" x14ac:dyDescent="0.25">
      <c r="A25" s="4"/>
      <c r="C25" s="4"/>
      <c r="D25" s="4"/>
      <c r="G25" s="28">
        <v>1</v>
      </c>
      <c r="H25" s="28" t="str">
        <f t="shared" si="0"/>
        <v>Meter #1 Batch in Progress - Mass Total</v>
      </c>
      <c r="I25" s="28">
        <v>5103</v>
      </c>
      <c r="J25" s="28" t="str">
        <f>RTD("modbusexcel.rtd",,$A$17,$C$17,IF($E$4="n","D",$D$17),I25,G25,$D$3,$B$17)</f>
        <v>System.Char[]</v>
      </c>
      <c r="K25" s="28"/>
      <c r="L25" s="28">
        <v>1</v>
      </c>
      <c r="M25" s="28" t="str">
        <f t="shared" si="1"/>
        <v>Meter Run #1 Flow Rate - Net (GSV)</v>
      </c>
      <c r="N25" s="28">
        <v>7102</v>
      </c>
      <c r="O25" s="28" t="str">
        <f>RTD("modbusexcel.rtd",,$A$17,$C$17,IF($E$4="n","D",$D$17),N25,L25,$D$3,$B$17)</f>
        <v>System.Char[]</v>
      </c>
      <c r="P25" s="28"/>
      <c r="Q25" s="28">
        <v>1</v>
      </c>
      <c r="R25" s="28" t="str">
        <f t="shared" si="2"/>
        <v>Meter #1 Previous Batch 'n' Avg Density</v>
      </c>
      <c r="S25" s="28">
        <v>8503</v>
      </c>
      <c r="T25" s="28" t="str">
        <f>RTD("modbusexcel.rtd",,$A$17,$C$17,IF($E$4="n","D",$D$17),S25,Q25,$D$3,$B$17)</f>
        <v>System.Char[]</v>
      </c>
      <c r="U25" s="28"/>
      <c r="V25" s="28"/>
      <c r="W25" s="28"/>
      <c r="X25" s="28"/>
      <c r="Y25" s="28"/>
    </row>
    <row r="26" spans="1:25" x14ac:dyDescent="0.25">
      <c r="A26" s="4"/>
      <c r="C26" s="4"/>
      <c r="D26" s="4"/>
      <c r="G26" s="28">
        <v>1</v>
      </c>
      <c r="H26" s="28" t="str">
        <f t="shared" si="0"/>
        <v>Meter #1 Cumulative Gross Total</v>
      </c>
      <c r="I26" s="28">
        <v>5105</v>
      </c>
      <c r="J26" s="28" t="str">
        <f>RTD("modbusexcel.rtd",,$A$17,$C$17,IF($E$4="n","D",$D$17),I26,G26,$D$3,$B$17)</f>
        <v>System.Char[]</v>
      </c>
      <c r="K26" s="28"/>
      <c r="L26" s="28">
        <v>1</v>
      </c>
      <c r="M26" s="28" t="str">
        <f t="shared" si="1"/>
        <v>Meter Run #1 Flow Rate - Mass</v>
      </c>
      <c r="N26" s="28">
        <v>7103</v>
      </c>
      <c r="O26" s="28" t="str">
        <f>RTD("modbusexcel.rtd",,$A$17,$C$17,IF($E$4="n","D",$D$17),N26,L26,$D$3,$B$17)</f>
        <v>System.Char[]</v>
      </c>
      <c r="P26" s="28"/>
      <c r="Q26" s="28">
        <v>1</v>
      </c>
      <c r="R26" s="28" t="str">
        <f t="shared" si="2"/>
        <v>Meter #1 Previous Batch 'n' Avg VCF</v>
      </c>
      <c r="S26" s="28">
        <v>8504</v>
      </c>
      <c r="T26" s="28" t="str">
        <f>RTD("modbusexcel.rtd",,$A$17,$C$17,IF($E$4="n","D",$D$17),S26,Q26,$D$3,$B$17)</f>
        <v>System.Char[]</v>
      </c>
      <c r="U26" s="28"/>
      <c r="V26" s="28"/>
      <c r="W26" s="28"/>
      <c r="X26" s="28"/>
      <c r="Y26" s="28"/>
    </row>
    <row r="27" spans="1:25" x14ac:dyDescent="0.25">
      <c r="A27" s="4"/>
      <c r="C27" s="4"/>
      <c r="D27" s="4"/>
      <c r="G27" s="28">
        <v>1</v>
      </c>
      <c r="H27" s="28" t="str">
        <f t="shared" si="0"/>
        <v>Meter #1 Cumulative Net Total</v>
      </c>
      <c r="I27" s="28">
        <v>5106</v>
      </c>
      <c r="J27" s="28" t="str">
        <f>RTD("modbusexcel.rtd",,$A$17,$C$17,IF($E$4="n","D",$D$17),I27,G27,$D$3,$B$17)</f>
        <v>System.Char[]</v>
      </c>
      <c r="K27" s="28"/>
      <c r="L27" s="28">
        <v>1</v>
      </c>
      <c r="M27" s="28" t="str">
        <f t="shared" si="1"/>
        <v>Meter #1 Temperature</v>
      </c>
      <c r="N27" s="28">
        <v>7105</v>
      </c>
      <c r="O27" s="28" t="str">
        <f>RTD("modbusexcel.rtd",,$A$17,$C$17,IF($E$4="n","D",$D$17),N27,L27,$D$3,$B$17)</f>
        <v>System.Char[]</v>
      </c>
      <c r="P27" s="28"/>
      <c r="Q27" s="28">
        <v>1</v>
      </c>
      <c r="R27" s="28" t="str">
        <f t="shared" si="2"/>
        <v>Meter #1 Previous Batch 'n' Avg CPL</v>
      </c>
      <c r="S27" s="28">
        <v>8505</v>
      </c>
      <c r="T27" s="28" t="str">
        <f>RTD("modbusexcel.rtd",,$A$17,$C$17,IF($E$4="n","D",$D$17),S27,Q27,$D$3,$B$17)</f>
        <v>System.Char[]</v>
      </c>
      <c r="U27" s="28"/>
      <c r="V27" s="28"/>
      <c r="W27" s="28"/>
      <c r="X27" s="28"/>
      <c r="Y27" s="28"/>
    </row>
    <row r="28" spans="1:25" x14ac:dyDescent="0.25">
      <c r="A28" s="4"/>
      <c r="C28" s="4"/>
      <c r="D28" s="4"/>
      <c r="G28" s="28">
        <v>1</v>
      </c>
      <c r="H28" s="28" t="str">
        <f t="shared" si="0"/>
        <v>Meter #1 Cumulative Mass Total</v>
      </c>
      <c r="I28" s="28">
        <v>5107</v>
      </c>
      <c r="J28" s="28" t="str">
        <f>RTD("modbusexcel.rtd",,$A$17,$C$17,IF($E$4="n","D",$D$17),I28,G28,$D$3,$B$17)</f>
        <v>System.Char[]</v>
      </c>
      <c r="K28" s="28"/>
      <c r="L28" s="28">
        <v>1</v>
      </c>
      <c r="M28" s="28" t="str">
        <f t="shared" si="1"/>
        <v>Meter #1 Pressure</v>
      </c>
      <c r="N28" s="28">
        <v>7106</v>
      </c>
      <c r="O28" s="28" t="str">
        <f>RTD("modbusexcel.rtd",,$A$17,$C$17,IF($E$4="n","D",$D$17),N28,L28,$D$3,$B$17)</f>
        <v>System.Char[]</v>
      </c>
      <c r="P28" s="28"/>
      <c r="Q28" s="28">
        <v>1</v>
      </c>
      <c r="R28" s="28" t="str">
        <f t="shared" si="2"/>
        <v>Meter #1 Previous Batch 'n' Avg MF</v>
      </c>
      <c r="S28" s="28">
        <v>8506</v>
      </c>
      <c r="T28" s="28" t="str">
        <f>RTD("modbusexcel.rtd",,$A$17,$C$17,IF($E$4="n","D",$D$17),S28,Q28,$D$3,$B$17)</f>
        <v>System.Char[]</v>
      </c>
      <c r="U28" s="28"/>
      <c r="V28" s="28"/>
      <c r="W28" s="28"/>
      <c r="X28" s="28"/>
      <c r="Y28" s="28"/>
    </row>
    <row r="29" spans="1:25" x14ac:dyDescent="0.25">
      <c r="A29" s="4"/>
      <c r="C29" s="4"/>
      <c r="D29" s="4"/>
      <c r="G29" s="28">
        <v>1</v>
      </c>
      <c r="H29" s="28" t="str">
        <f t="shared" si="0"/>
        <v>Meter #1 Daily Gross Total</v>
      </c>
      <c r="I29" s="28">
        <v>5109</v>
      </c>
      <c r="J29" s="28" t="str">
        <f>RTD("modbusexcel.rtd",,$A$17,$C$17,IF($E$4="n","D",$D$17),I29,G29,$D$3,$B$17)</f>
        <v>System.Char[]</v>
      </c>
      <c r="K29" s="28"/>
      <c r="L29" s="28">
        <v>1</v>
      </c>
      <c r="M29" s="28" t="str">
        <f t="shared" si="1"/>
        <v>Meter #1 Unfactored Density</v>
      </c>
      <c r="N29" s="28">
        <v>7108</v>
      </c>
      <c r="O29" s="28" t="str">
        <f>RTD("modbusexcel.rtd",,$A$17,$C$17,IF($E$4="n","D",$D$17),N29,L29,$D$3,$B$17)</f>
        <v>System.Char[]</v>
      </c>
      <c r="P29" s="28"/>
      <c r="Q29" s="28">
        <v>1</v>
      </c>
      <c r="R29" s="28" t="str">
        <f t="shared" si="2"/>
        <v>Meter #1 Previous Batch 'n' Avg SG</v>
      </c>
      <c r="S29" s="28">
        <v>8507</v>
      </c>
      <c r="T29" s="28" t="str">
        <f>RTD("modbusexcel.rtd",,$A$17,$C$17,IF($E$4="n","D",$D$17),S29,Q29,$D$3,$B$17)</f>
        <v>System.Char[]</v>
      </c>
      <c r="U29" s="28"/>
      <c r="V29" s="28"/>
      <c r="W29" s="28"/>
      <c r="X29" s="28"/>
      <c r="Y29" s="28"/>
    </row>
    <row r="30" spans="1:25" x14ac:dyDescent="0.25">
      <c r="A30" s="4"/>
      <c r="C30" s="4"/>
      <c r="D30" s="4"/>
      <c r="G30" s="28">
        <v>1</v>
      </c>
      <c r="H30" s="28" t="str">
        <f t="shared" si="0"/>
        <v>Meter #1 Daily Net Total</v>
      </c>
      <c r="I30" s="28">
        <v>5110</v>
      </c>
      <c r="J30" s="28" t="str">
        <f>RTD("modbusexcel.rtd",,$A$17,$C$17,IF($E$4="n","D",$D$17),I30,G30,$D$3,$B$17)</f>
        <v>System.Char[]</v>
      </c>
      <c r="K30" s="28"/>
      <c r="L30" s="28">
        <v>1</v>
      </c>
      <c r="M30" s="28" t="str">
        <f t="shared" si="1"/>
        <v>Meter #1 Flowing Density</v>
      </c>
      <c r="N30" s="28">
        <v>7109</v>
      </c>
      <c r="O30" s="28" t="str">
        <f>RTD("modbusexcel.rtd",,$A$17,$C$17,IF($E$4="n","D",$D$17),N30,L30,$D$3,$B$17)</f>
        <v>System.Char[]</v>
      </c>
      <c r="P30" s="28"/>
      <c r="Q30" s="28">
        <v>1</v>
      </c>
      <c r="R30" s="28" t="str">
        <f t="shared" si="2"/>
        <v>Meter #1 Previous Batch 'n' Avg SG60/Den@Ref.T</v>
      </c>
      <c r="S30" s="28">
        <v>8508</v>
      </c>
      <c r="T30" s="28" t="str">
        <f>RTD("modbusexcel.rtd",,$A$17,$C$17,IF($E$4="n","D",$D$17),S30,Q30,$D$3,$B$17)</f>
        <v>System.Char[]</v>
      </c>
      <c r="U30" s="28"/>
      <c r="V30" s="28"/>
      <c r="W30" s="28"/>
      <c r="X30" s="28"/>
      <c r="Y30" s="28"/>
    </row>
    <row r="31" spans="1:25" x14ac:dyDescent="0.25">
      <c r="A31" s="4"/>
      <c r="C31" s="4"/>
      <c r="D31" s="4"/>
      <c r="G31" s="28">
        <v>1</v>
      </c>
      <c r="H31" s="28" t="str">
        <f t="shared" si="0"/>
        <v>Meter #1 Daily Mass Total</v>
      </c>
      <c r="I31" s="28">
        <v>5111</v>
      </c>
      <c r="J31" s="28" t="str">
        <f>RTD("modbusexcel.rtd",,$A$17,$C$17,IF($E$4="n","D",$D$17),I31,G31,$D$3,$B$17)</f>
        <v>System.Char[]</v>
      </c>
      <c r="K31" s="28"/>
      <c r="L31" s="28">
        <v>1</v>
      </c>
      <c r="M31" s="28" t="str">
        <f t="shared" si="1"/>
        <v>Meter #1 Density Temperature</v>
      </c>
      <c r="N31" s="28">
        <v>7110</v>
      </c>
      <c r="O31" s="28" t="str">
        <f>RTD("modbusexcel.rtd",,$A$17,$C$17,IF($E$4="n","D",$D$17),N31,L31,$D$3,$B$17)</f>
        <v>System.Char[]</v>
      </c>
      <c r="P31" s="28"/>
      <c r="Q31" s="28">
        <v>1</v>
      </c>
      <c r="R31" s="28" t="str">
        <f t="shared" si="2"/>
        <v>Meter #1 Previous Batch 'n' Avg DensityTemperature</v>
      </c>
      <c r="S31" s="28">
        <v>8509</v>
      </c>
      <c r="T31" s="28" t="str">
        <f>RTD("modbusexcel.rtd",,$A$17,$C$17,IF($E$4="n","D",$D$17),S31,Q31,$D$3,$B$17)</f>
        <v>System.Char[]</v>
      </c>
      <c r="U31" s="28"/>
      <c r="V31" s="28"/>
      <c r="W31" s="28"/>
      <c r="X31" s="28"/>
      <c r="Y31" s="28"/>
    </row>
    <row r="32" spans="1:25" x14ac:dyDescent="0.25">
      <c r="A32" s="4"/>
      <c r="C32" s="4"/>
      <c r="D32" s="4"/>
      <c r="G32" s="28">
        <v>1</v>
      </c>
      <c r="H32" s="28" t="str">
        <f t="shared" si="0"/>
        <v>Meter #1 Meter Factor</v>
      </c>
      <c r="I32" s="28">
        <v>5113</v>
      </c>
      <c r="J32" s="28" t="str">
        <f>RTD("modbusexcel.rtd",,$A$17,$C$17,IF($E$4="n","D",$D$17),I32,G32,$D$3,$B$17)</f>
        <v>System.Char[]</v>
      </c>
      <c r="K32" s="28"/>
      <c r="L32" s="28">
        <v>1</v>
      </c>
      <c r="M32" s="28" t="str">
        <f t="shared" si="1"/>
        <v>Meter #1 Density Pressure</v>
      </c>
      <c r="N32" s="28">
        <v>7111</v>
      </c>
      <c r="O32" s="28" t="str">
        <f>RTD("modbusexcel.rtd",,$A$17,$C$17,IF($E$4="n","D",$D$17),N32,L32,$D$3,$B$17)</f>
        <v>System.Char[]</v>
      </c>
      <c r="P32" s="28"/>
      <c r="Q32" s="28">
        <v>1</v>
      </c>
      <c r="R32" s="28" t="str">
        <f t="shared" si="2"/>
        <v>Meter #1 Previous Batch 'n' Avg Density Pressure</v>
      </c>
      <c r="S32" s="28">
        <v>8510</v>
      </c>
      <c r="T32" s="28" t="str">
        <f>RTD("modbusexcel.rtd",,$A$17,$C$17,IF($E$4="n","D",$D$17),S32,Q32,$D$3,$B$17)</f>
        <v>System.Char[]</v>
      </c>
      <c r="U32" s="28"/>
      <c r="V32" s="28"/>
      <c r="W32" s="28"/>
      <c r="X32" s="28"/>
      <c r="Y32" s="28"/>
    </row>
    <row r="33" spans="1:25" x14ac:dyDescent="0.25">
      <c r="A33" s="4"/>
      <c r="C33" s="4"/>
      <c r="D33" s="4"/>
      <c r="G33" s="28">
        <v>1</v>
      </c>
      <c r="H33" s="28" t="str">
        <f t="shared" si="0"/>
        <v>Meter #1 Batch FWA/TWA Meter Factor</v>
      </c>
      <c r="I33" s="28">
        <v>5114</v>
      </c>
      <c r="J33" s="28" t="str">
        <f>RTD("modbusexcel.rtd",,$A$17,$C$17,IF($E$4="n","D",$D$17),I33,G33,$D$3,$B$17)</f>
        <v>System.Char[]</v>
      </c>
      <c r="K33" s="28"/>
      <c r="L33" s="28">
        <v>1</v>
      </c>
      <c r="M33" s="28" t="str">
        <f t="shared" si="1"/>
        <v>Meter #1 API Flowing</v>
      </c>
      <c r="N33" s="28">
        <v>7112</v>
      </c>
      <c r="O33" s="28" t="str">
        <f>RTD("modbusexcel.rtd",,$A$17,$C$17,IF($E$4="n","D",$D$17),N33,L33,$D$3,$B$17)</f>
        <v>System.Char[]</v>
      </c>
      <c r="P33" s="28"/>
      <c r="Q33" s="28">
        <v>1</v>
      </c>
      <c r="R33" s="28" t="str">
        <f t="shared" si="2"/>
        <v>Meter #1 Previous Batch 'n' Avg Density</v>
      </c>
      <c r="S33" s="28">
        <v>8511</v>
      </c>
      <c r="T33" s="28" t="str">
        <f>RTD("modbusexcel.rtd",,$A$17,$C$17,IF($E$4="n","D",$D$17),S33,Q33,$D$3,$B$17)</f>
        <v>System.Char[]</v>
      </c>
      <c r="U33" s="28"/>
      <c r="V33" s="28"/>
      <c r="W33" s="28"/>
      <c r="X33" s="28"/>
      <c r="Y33" s="28"/>
    </row>
    <row r="34" spans="1:25" x14ac:dyDescent="0.25">
      <c r="A34" s="4"/>
      <c r="C34" s="4"/>
      <c r="D34" s="4"/>
      <c r="G34" s="28">
        <v>1</v>
      </c>
      <c r="H34" s="28" t="str">
        <f t="shared" si="0"/>
        <v>Meter #1 Running Product Number</v>
      </c>
      <c r="I34" s="28">
        <v>5117</v>
      </c>
      <c r="J34" s="28" t="str">
        <f>RTD("modbusexcel.rtd",,$A$17,$C$17,IF($E$4="n","D",$D$17),I34,G34,$D$3,$B$17)</f>
        <v>System.Char[]</v>
      </c>
      <c r="K34" s="28"/>
      <c r="L34" s="28">
        <v>1</v>
      </c>
      <c r="M34" s="28" t="str">
        <f t="shared" si="1"/>
        <v>Meter #1 API @60 / API @ Ref. Temperature</v>
      </c>
      <c r="N34" s="28">
        <v>7113</v>
      </c>
      <c r="O34" s="28" t="str">
        <f>RTD("modbusexcel.rtd",,$A$17,$C$17,IF($E$4="n","D",$D$17),N34,L34,$D$3,$B$17)</f>
        <v>System.Char[]</v>
      </c>
      <c r="P34" s="28"/>
      <c r="Q34" s="28">
        <v>1</v>
      </c>
      <c r="R34" s="28" t="str">
        <f t="shared" si="2"/>
        <v>Meter #1 Prev Batch'n' Avg Orifice Diameter</v>
      </c>
      <c r="S34" s="28">
        <v>8512</v>
      </c>
      <c r="T34" s="28" t="str">
        <f>RTD("modbusexcel.rtd",,$A$17,$C$17,IF($E$4="n","D",$D$17),S34,Q34,$D$3,$B$17)</f>
        <v>System.Char[]</v>
      </c>
      <c r="U34" s="28"/>
      <c r="V34" s="28"/>
      <c r="W34" s="28"/>
      <c r="X34" s="28"/>
      <c r="Y34" s="28"/>
    </row>
    <row r="35" spans="1:25" x14ac:dyDescent="0.25">
      <c r="A35" s="4"/>
      <c r="C35" s="4"/>
      <c r="D35" s="4"/>
      <c r="G35" s="28">
        <v>1</v>
      </c>
      <c r="H35" s="28" t="str">
        <f t="shared" si="0"/>
        <v>Meter #1 Batch Number</v>
      </c>
      <c r="I35" s="28">
        <v>5119</v>
      </c>
      <c r="J35" s="28" t="str">
        <f>RTD("modbusexcel.rtd",,$A$17,$C$17,IF($E$4="n","D",$D$17),I35,G35,$D$3,$B$17)</f>
        <v>System.Char[]</v>
      </c>
      <c r="K35" s="28"/>
      <c r="L35" s="28">
        <v>1</v>
      </c>
      <c r="M35" s="28" t="str">
        <f t="shared" si="1"/>
        <v>Meter #1 SG Flowing</v>
      </c>
      <c r="N35" s="28">
        <v>7114</v>
      </c>
      <c r="O35" s="28" t="str">
        <f>RTD("modbusexcel.rtd",,$A$17,$C$17,IF($E$4="n","D",$D$17),N35,L35,$D$3,$B$17)</f>
        <v>System.Char[]</v>
      </c>
      <c r="P35" s="28"/>
      <c r="Q35" s="28">
        <v>1</v>
      </c>
      <c r="R35" s="28" t="str">
        <f t="shared" si="2"/>
        <v>Meter #1 Prev Batch'n' Avg Pipe Diameter</v>
      </c>
      <c r="S35" s="28">
        <v>8513</v>
      </c>
      <c r="T35" s="28" t="str">
        <f>RTD("modbusexcel.rtd",,$A$17,$C$17,IF($E$4="n","D",$D$17),S35,Q35,$D$3,$B$17)</f>
        <v>System.Char[]</v>
      </c>
      <c r="U35" s="28"/>
      <c r="V35" s="28"/>
      <c r="W35" s="28"/>
      <c r="X35" s="28"/>
      <c r="Y35" s="28"/>
    </row>
    <row r="36" spans="1:25" x14ac:dyDescent="0.25">
      <c r="A36" s="4"/>
      <c r="C36" s="4"/>
      <c r="D36" s="4"/>
      <c r="G36" s="28">
        <v>1</v>
      </c>
      <c r="H36" s="28" t="str">
        <f t="shared" si="0"/>
        <v>Meter #1 Previous Batch 'n' Gross Total</v>
      </c>
      <c r="I36" s="28">
        <v>5150</v>
      </c>
      <c r="J36" s="28" t="str">
        <f>RTD("modbusexcel.rtd",,$A$17,$C$17,IF($E$4="n","D",$D$17),I36,G36,$D$3,$B$17)</f>
        <v>System.Char[]</v>
      </c>
      <c r="K36" s="28"/>
      <c r="L36" s="28">
        <v>1</v>
      </c>
      <c r="M36" s="28" t="str">
        <f t="shared" si="1"/>
        <v>Meter #1 SG @60 Deg.F/DENS@15 Deg.C</v>
      </c>
      <c r="N36" s="28">
        <v>7115</v>
      </c>
      <c r="O36" s="28" t="str">
        <f>RTD("modbusexcel.rtd",,$A$17,$C$17,IF($E$4="n","D",$D$17),N36,L36,$D$3,$B$17)</f>
        <v>System.Char[]</v>
      </c>
      <c r="P36" s="28"/>
      <c r="Q36" s="28">
        <v>1</v>
      </c>
      <c r="R36" s="28" t="str">
        <f t="shared" si="2"/>
        <v>Meter #1 Prev Batch'n' Avg Expansion Factor Y</v>
      </c>
      <c r="S36" s="28">
        <v>8516</v>
      </c>
      <c r="T36" s="28" t="str">
        <f>RTD("modbusexcel.rtd",,$A$17,$C$17,IF($E$4="n","D",$D$17),S36,Q36,$D$3,$B$17)</f>
        <v>System.Char[]</v>
      </c>
      <c r="U36" s="28"/>
      <c r="V36" s="28"/>
      <c r="W36" s="28"/>
      <c r="X36" s="28"/>
      <c r="Y36" s="28"/>
    </row>
    <row r="37" spans="1:25" x14ac:dyDescent="0.25">
      <c r="A37" s="4"/>
      <c r="C37" s="4"/>
      <c r="D37" s="4"/>
    </row>
    <row r="38" spans="1:25" x14ac:dyDescent="0.25">
      <c r="A38" s="4"/>
      <c r="C38" s="4"/>
      <c r="D38" s="4"/>
    </row>
    <row r="39" spans="1:25" x14ac:dyDescent="0.25">
      <c r="A39" s="4"/>
      <c r="C39" s="4"/>
      <c r="D39" s="4"/>
    </row>
    <row r="40" spans="1:25" x14ac:dyDescent="0.25">
      <c r="A40" s="4"/>
      <c r="C40" s="4"/>
      <c r="D40" s="4"/>
    </row>
    <row r="41" spans="1:25" x14ac:dyDescent="0.25">
      <c r="A41" s="4"/>
      <c r="C41" s="4"/>
      <c r="D41" s="4"/>
    </row>
    <row r="42" spans="1:25" x14ac:dyDescent="0.25">
      <c r="A42" s="4"/>
      <c r="C42" s="4"/>
      <c r="D42" s="4"/>
    </row>
    <row r="43" spans="1:25" x14ac:dyDescent="0.25">
      <c r="A43" s="4"/>
      <c r="C43" s="4"/>
      <c r="D43" s="4"/>
    </row>
    <row r="44" spans="1:25" x14ac:dyDescent="0.25">
      <c r="A44" s="4"/>
      <c r="C44" s="4"/>
      <c r="D44" s="4"/>
    </row>
    <row r="45" spans="1:25" x14ac:dyDescent="0.25">
      <c r="A45" s="4"/>
      <c r="C45" s="4"/>
      <c r="D45" s="4"/>
    </row>
    <row r="46" spans="1:25" x14ac:dyDescent="0.25">
      <c r="A46" s="4"/>
      <c r="C46" s="4"/>
      <c r="D46" s="4"/>
    </row>
    <row r="47" spans="1:25" x14ac:dyDescent="0.25">
      <c r="A47" s="4"/>
      <c r="C47" s="4"/>
      <c r="D47" s="4"/>
    </row>
    <row r="48" spans="1:25" x14ac:dyDescent="0.25">
      <c r="A48" s="4"/>
      <c r="C48" s="4"/>
      <c r="D48" s="4"/>
    </row>
    <row r="49" spans="1:4" x14ac:dyDescent="0.25">
      <c r="A49" s="4"/>
      <c r="C49" s="4"/>
      <c r="D49" s="4"/>
    </row>
    <row r="50" spans="1:4" x14ac:dyDescent="0.25">
      <c r="A50" s="4"/>
      <c r="C50" s="4"/>
      <c r="D50" s="4"/>
    </row>
    <row r="51" spans="1:4" x14ac:dyDescent="0.25">
      <c r="A51" s="4"/>
      <c r="C51" s="4"/>
      <c r="D51" s="4"/>
    </row>
    <row r="52" spans="1:4" x14ac:dyDescent="0.25">
      <c r="A52" s="4"/>
      <c r="C52" s="4"/>
      <c r="D52" s="4"/>
    </row>
    <row r="53" spans="1:4" x14ac:dyDescent="0.25">
      <c r="A53" s="4"/>
      <c r="C53" s="4"/>
      <c r="D53" s="4"/>
    </row>
    <row r="54" spans="1:4" x14ac:dyDescent="0.25">
      <c r="A54" s="4"/>
      <c r="C54" s="4"/>
      <c r="D54" s="4"/>
    </row>
    <row r="55" spans="1:4" x14ac:dyDescent="0.25">
      <c r="A55" s="4"/>
      <c r="C55" s="4"/>
      <c r="D55" s="4"/>
    </row>
    <row r="56" spans="1:4" x14ac:dyDescent="0.25">
      <c r="A56" s="4"/>
      <c r="C56" s="4"/>
      <c r="D56" s="4"/>
    </row>
    <row r="57" spans="1:4" x14ac:dyDescent="0.25">
      <c r="A57" s="4"/>
      <c r="C57" s="4"/>
      <c r="D57" s="4"/>
    </row>
    <row r="58" spans="1:4" x14ac:dyDescent="0.25">
      <c r="A58" s="4"/>
      <c r="C58" s="4"/>
      <c r="D58" s="4"/>
    </row>
    <row r="59" spans="1:4" x14ac:dyDescent="0.25">
      <c r="A59" s="4"/>
      <c r="C59" s="4"/>
      <c r="D59" s="4"/>
    </row>
    <row r="60" spans="1:4" x14ac:dyDescent="0.25">
      <c r="A60" s="4"/>
      <c r="C60" s="4"/>
      <c r="D60" s="4"/>
    </row>
    <row r="61" spans="1:4" x14ac:dyDescent="0.25">
      <c r="A61" s="4"/>
      <c r="C61" s="4"/>
      <c r="D61" s="4"/>
    </row>
    <row r="62" spans="1:4" x14ac:dyDescent="0.25">
      <c r="A62" s="4"/>
      <c r="C62" s="4"/>
      <c r="D62" s="4"/>
    </row>
    <row r="63" spans="1:4" x14ac:dyDescent="0.25">
      <c r="A63" s="4"/>
      <c r="C63" s="4"/>
      <c r="D63" s="4"/>
    </row>
    <row r="64" spans="1:4" x14ac:dyDescent="0.25">
      <c r="A64" s="4"/>
      <c r="C64" s="4"/>
      <c r="D64" s="4"/>
    </row>
    <row r="65" spans="1:4" x14ac:dyDescent="0.25">
      <c r="A65" s="4"/>
      <c r="C65" s="4"/>
      <c r="D65" s="4"/>
    </row>
    <row r="66" spans="1:4" x14ac:dyDescent="0.25">
      <c r="A66" s="4"/>
      <c r="C66" s="4"/>
      <c r="D66" s="4"/>
    </row>
    <row r="67" spans="1:4" x14ac:dyDescent="0.25">
      <c r="A67" s="4"/>
      <c r="C67" s="4"/>
      <c r="D67" s="4"/>
    </row>
    <row r="68" spans="1:4" x14ac:dyDescent="0.25">
      <c r="A68" s="4"/>
      <c r="C68" s="4"/>
      <c r="D68" s="4"/>
    </row>
    <row r="69" spans="1:4" x14ac:dyDescent="0.25">
      <c r="A69" s="4"/>
      <c r="C69" s="4"/>
      <c r="D69" s="4"/>
    </row>
    <row r="70" spans="1:4" x14ac:dyDescent="0.25">
      <c r="A70" s="4"/>
      <c r="C70" s="4"/>
      <c r="D70" s="4"/>
    </row>
    <row r="71" spans="1:4" x14ac:dyDescent="0.25">
      <c r="A71" s="4"/>
      <c r="C71" s="4"/>
      <c r="D71" s="4"/>
    </row>
    <row r="72" spans="1:4" x14ac:dyDescent="0.25">
      <c r="A72" s="4"/>
      <c r="C72" s="4"/>
      <c r="D72" s="4"/>
    </row>
    <row r="73" spans="1:4" x14ac:dyDescent="0.25">
      <c r="A73" s="4"/>
      <c r="C73" s="4"/>
      <c r="D73" s="4"/>
    </row>
    <row r="74" spans="1:4" x14ac:dyDescent="0.25">
      <c r="A74" s="4"/>
      <c r="C74" s="4"/>
      <c r="D74" s="4"/>
    </row>
    <row r="75" spans="1:4" x14ac:dyDescent="0.25">
      <c r="A75" s="4"/>
      <c r="C75" s="4"/>
      <c r="D75" s="4"/>
    </row>
    <row r="76" spans="1:4" x14ac:dyDescent="0.25">
      <c r="A76" s="4"/>
      <c r="C76" s="4"/>
      <c r="D76" s="4"/>
    </row>
    <row r="77" spans="1:4" x14ac:dyDescent="0.25">
      <c r="A77" s="4"/>
      <c r="C77" s="4"/>
      <c r="D77" s="4"/>
    </row>
    <row r="78" spans="1:4" x14ac:dyDescent="0.25">
      <c r="A78" s="4"/>
      <c r="C78" s="4"/>
      <c r="D78" s="4"/>
    </row>
    <row r="79" spans="1:4" x14ac:dyDescent="0.25">
      <c r="A79" s="4"/>
      <c r="C79" s="4"/>
      <c r="D79" s="4"/>
    </row>
    <row r="80" spans="1:4" x14ac:dyDescent="0.25">
      <c r="A80" s="4"/>
      <c r="C80" s="4"/>
      <c r="D80" s="4"/>
    </row>
    <row r="81" spans="1:4" x14ac:dyDescent="0.25">
      <c r="A81" s="4"/>
      <c r="C81" s="4"/>
      <c r="D81" s="4"/>
    </row>
    <row r="82" spans="1:4" x14ac:dyDescent="0.25">
      <c r="A82" s="4"/>
      <c r="C82" s="4"/>
      <c r="D82" s="4"/>
    </row>
    <row r="83" spans="1:4" x14ac:dyDescent="0.25">
      <c r="A83" s="4"/>
      <c r="C83" s="4"/>
      <c r="D83" s="4"/>
    </row>
    <row r="84" spans="1:4" x14ac:dyDescent="0.25">
      <c r="A84" s="4"/>
      <c r="C84" s="4"/>
      <c r="D84" s="4"/>
    </row>
    <row r="85" spans="1:4" x14ac:dyDescent="0.25">
      <c r="A85" s="4"/>
      <c r="C85" s="4"/>
      <c r="D85" s="4"/>
    </row>
    <row r="86" spans="1:4" x14ac:dyDescent="0.25">
      <c r="A86" s="4"/>
      <c r="C86" s="4"/>
      <c r="D86" s="4"/>
    </row>
    <row r="87" spans="1:4" x14ac:dyDescent="0.25">
      <c r="A87" s="4"/>
      <c r="C87" s="4"/>
      <c r="D87" s="4"/>
    </row>
    <row r="88" spans="1:4" x14ac:dyDescent="0.25">
      <c r="A88" s="4"/>
      <c r="C88" s="4"/>
      <c r="D88" s="4"/>
    </row>
    <row r="89" spans="1:4" x14ac:dyDescent="0.25">
      <c r="A89" s="4"/>
      <c r="C89" s="4"/>
      <c r="D89" s="4"/>
    </row>
    <row r="90" spans="1:4" x14ac:dyDescent="0.25">
      <c r="A90" s="4"/>
      <c r="C90" s="4"/>
      <c r="D90" s="4"/>
    </row>
    <row r="91" spans="1:4" x14ac:dyDescent="0.25">
      <c r="A91" s="4"/>
      <c r="C91" s="4"/>
      <c r="D91" s="4"/>
    </row>
    <row r="92" spans="1:4" x14ac:dyDescent="0.25">
      <c r="A92" s="4"/>
      <c r="C92" s="4"/>
      <c r="D92" s="4"/>
    </row>
    <row r="93" spans="1:4" x14ac:dyDescent="0.25">
      <c r="A93" s="4"/>
      <c r="C93" s="4"/>
      <c r="D93" s="4"/>
    </row>
    <row r="94" spans="1:4" x14ac:dyDescent="0.25">
      <c r="A94" s="4"/>
      <c r="C94" s="4"/>
      <c r="D94" s="4"/>
    </row>
    <row r="95" spans="1:4" x14ac:dyDescent="0.25">
      <c r="A95" s="4"/>
      <c r="C95" s="4"/>
      <c r="D95" s="4"/>
    </row>
    <row r="96" spans="1:4" x14ac:dyDescent="0.25">
      <c r="A96" s="4"/>
      <c r="C96" s="4"/>
      <c r="D96" s="4"/>
    </row>
    <row r="97" spans="1:4" x14ac:dyDescent="0.25">
      <c r="A97" s="4"/>
      <c r="C97" s="4"/>
      <c r="D97" s="4"/>
    </row>
    <row r="98" spans="1:4" x14ac:dyDescent="0.25">
      <c r="A98" s="4"/>
      <c r="C98" s="4"/>
      <c r="D98" s="4"/>
    </row>
    <row r="99" spans="1:4" x14ac:dyDescent="0.25">
      <c r="A99" s="4"/>
      <c r="C99" s="4"/>
      <c r="D99" s="4"/>
    </row>
    <row r="100" spans="1:4" x14ac:dyDescent="0.25">
      <c r="A100" s="4"/>
      <c r="C100" s="4"/>
      <c r="D100" s="4"/>
    </row>
    <row r="101" spans="1:4" x14ac:dyDescent="0.25">
      <c r="A101" s="4"/>
      <c r="C101" s="4"/>
      <c r="D101" s="4"/>
    </row>
    <row r="102" spans="1:4" x14ac:dyDescent="0.25">
      <c r="A102" s="4"/>
      <c r="C102" s="4"/>
      <c r="D102" s="4"/>
    </row>
    <row r="103" spans="1:4" x14ac:dyDescent="0.25">
      <c r="A103" s="4"/>
      <c r="C103" s="4"/>
      <c r="D103" s="4"/>
    </row>
    <row r="104" spans="1:4" x14ac:dyDescent="0.25">
      <c r="A104" s="4"/>
      <c r="C104" s="4"/>
      <c r="D104" s="4"/>
    </row>
    <row r="105" spans="1:4" x14ac:dyDescent="0.25">
      <c r="A105" s="4"/>
      <c r="C105" s="4"/>
      <c r="D105" s="4"/>
    </row>
    <row r="106" spans="1:4" x14ac:dyDescent="0.25">
      <c r="A106" s="4"/>
      <c r="C106" s="4"/>
      <c r="D106" s="4"/>
    </row>
    <row r="107" spans="1:4" x14ac:dyDescent="0.25">
      <c r="A107" s="4"/>
      <c r="C107" s="4"/>
      <c r="D107" s="4"/>
    </row>
    <row r="108" spans="1:4" x14ac:dyDescent="0.25">
      <c r="A108" s="4"/>
      <c r="C108" s="4"/>
      <c r="D108" s="4"/>
    </row>
    <row r="109" spans="1:4" x14ac:dyDescent="0.25">
      <c r="A109" s="4"/>
      <c r="C109" s="4"/>
      <c r="D109" s="4"/>
    </row>
    <row r="110" spans="1:4" x14ac:dyDescent="0.25">
      <c r="A110" s="4"/>
      <c r="C110" s="4"/>
      <c r="D110" s="4"/>
    </row>
    <row r="111" spans="1:4" x14ac:dyDescent="0.25">
      <c r="A111" s="4"/>
      <c r="C111" s="4"/>
      <c r="D111" s="4"/>
    </row>
    <row r="112" spans="1:4" x14ac:dyDescent="0.25">
      <c r="A112" s="4"/>
      <c r="C112" s="4"/>
      <c r="D112" s="4"/>
    </row>
    <row r="113" spans="1:4" x14ac:dyDescent="0.25">
      <c r="A113" s="4"/>
      <c r="C113" s="4"/>
      <c r="D113" s="4"/>
    </row>
    <row r="114" spans="1:4" x14ac:dyDescent="0.25">
      <c r="A114" s="4"/>
      <c r="C114" s="4"/>
      <c r="D114" s="4"/>
    </row>
    <row r="115" spans="1:4" x14ac:dyDescent="0.25">
      <c r="A115" s="4"/>
      <c r="C115" s="4"/>
      <c r="D115" s="4"/>
    </row>
    <row r="116" spans="1:4" x14ac:dyDescent="0.25">
      <c r="A116" s="4"/>
      <c r="C116" s="4"/>
      <c r="D116" s="4"/>
    </row>
    <row r="117" spans="1:4" x14ac:dyDescent="0.25">
      <c r="A117" s="4"/>
      <c r="C117" s="4"/>
      <c r="D117" s="4"/>
    </row>
    <row r="118" spans="1:4" x14ac:dyDescent="0.25">
      <c r="A118" s="4"/>
      <c r="C118" s="4"/>
      <c r="D118" s="4"/>
    </row>
    <row r="119" spans="1:4" x14ac:dyDescent="0.25">
      <c r="A119" s="4"/>
      <c r="C119" s="4"/>
      <c r="D119" s="4"/>
    </row>
    <row r="120" spans="1:4" x14ac:dyDescent="0.25">
      <c r="A120" s="4"/>
      <c r="C120" s="4"/>
      <c r="D120" s="4"/>
    </row>
    <row r="121" spans="1:4" x14ac:dyDescent="0.25">
      <c r="A121" s="4"/>
      <c r="C121" s="4"/>
      <c r="D121" s="4"/>
    </row>
    <row r="122" spans="1:4" x14ac:dyDescent="0.25">
      <c r="A122" s="4"/>
      <c r="C122" s="4"/>
      <c r="D122" s="4"/>
    </row>
    <row r="123" spans="1:4" x14ac:dyDescent="0.25">
      <c r="A123" s="4"/>
      <c r="C123" s="4"/>
      <c r="D123" s="4"/>
    </row>
    <row r="124" spans="1:4" x14ac:dyDescent="0.25">
      <c r="A124" s="4"/>
      <c r="C124" s="4"/>
      <c r="D124" s="4"/>
    </row>
    <row r="125" spans="1:4" x14ac:dyDescent="0.25">
      <c r="A125" s="4"/>
      <c r="C125" s="4"/>
      <c r="D125" s="4"/>
    </row>
    <row r="126" spans="1:4" x14ac:dyDescent="0.25">
      <c r="A126" s="4"/>
      <c r="C126" s="4"/>
      <c r="D126" s="4"/>
    </row>
    <row r="127" spans="1:4" x14ac:dyDescent="0.25">
      <c r="A127" s="4"/>
      <c r="C127" s="4"/>
      <c r="D127" s="4"/>
    </row>
    <row r="128" spans="1:4" x14ac:dyDescent="0.25">
      <c r="A128" s="4"/>
      <c r="C128" s="4"/>
      <c r="D128" s="4"/>
    </row>
    <row r="129" spans="1:4" x14ac:dyDescent="0.25">
      <c r="A129" s="4"/>
      <c r="C129" s="4"/>
      <c r="D129" s="4"/>
    </row>
    <row r="130" spans="1:4" x14ac:dyDescent="0.25">
      <c r="A130" s="4"/>
      <c r="C130" s="4"/>
      <c r="D130" s="4"/>
    </row>
    <row r="131" spans="1:4" x14ac:dyDescent="0.25">
      <c r="A131" s="4"/>
      <c r="C131" s="4"/>
      <c r="D131" s="4"/>
    </row>
    <row r="132" spans="1:4" x14ac:dyDescent="0.25">
      <c r="A132" s="4"/>
      <c r="C132" s="4"/>
      <c r="D132" s="4"/>
    </row>
    <row r="133" spans="1:4" x14ac:dyDescent="0.25">
      <c r="A133" s="4"/>
      <c r="C133" s="4"/>
      <c r="D133" s="4"/>
    </row>
    <row r="134" spans="1:4" x14ac:dyDescent="0.25">
      <c r="A134" s="4"/>
      <c r="C134" s="4"/>
      <c r="D134" s="4"/>
    </row>
    <row r="135" spans="1:4" x14ac:dyDescent="0.25">
      <c r="A135" s="4"/>
      <c r="C135" s="4"/>
      <c r="D135" s="4"/>
    </row>
  </sheetData>
  <mergeCells count="13">
    <mergeCell ref="A1:B1"/>
    <mergeCell ref="A15:B15"/>
    <mergeCell ref="A3:B3"/>
    <mergeCell ref="A4:B4"/>
    <mergeCell ref="A10:B10"/>
    <mergeCell ref="A13:B13"/>
    <mergeCell ref="A14:B14"/>
    <mergeCell ref="A8:B8"/>
    <mergeCell ref="A6:B6"/>
    <mergeCell ref="A11:B11"/>
    <mergeCell ref="A12:B12"/>
    <mergeCell ref="A7:B7"/>
    <mergeCell ref="A9:B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B8" sqref="B8"/>
    </sheetView>
  </sheetViews>
  <sheetFormatPr defaultRowHeight="15" x14ac:dyDescent="0.25"/>
  <cols>
    <col min="3" max="3" width="137" bestFit="1" customWidth="1"/>
  </cols>
  <sheetData>
    <row r="1" spans="1:4" s="17" customFormat="1" ht="18.75" x14ac:dyDescent="0.3">
      <c r="A1" s="18" t="s">
        <v>1087</v>
      </c>
      <c r="B1" s="18"/>
      <c r="C1" s="18"/>
    </row>
    <row r="2" spans="1:4" x14ac:dyDescent="0.25">
      <c r="A2" s="16">
        <v>16384</v>
      </c>
      <c r="B2" s="21">
        <v>1</v>
      </c>
      <c r="C2" s="4" t="s">
        <v>36</v>
      </c>
      <c r="D2" s="4"/>
    </row>
    <row r="3" spans="1:4" x14ac:dyDescent="0.25">
      <c r="A3" s="16">
        <f>A2/2</f>
        <v>8192</v>
      </c>
      <c r="B3" s="20">
        <v>0</v>
      </c>
      <c r="C3" s="4" t="s">
        <v>16</v>
      </c>
      <c r="D3" s="4"/>
    </row>
    <row r="4" spans="1:4" x14ac:dyDescent="0.25">
      <c r="A4" s="16">
        <f t="shared" ref="A4:A16" si="0">A3/2</f>
        <v>4096</v>
      </c>
      <c r="B4" s="21">
        <v>0</v>
      </c>
      <c r="C4" s="4" t="s">
        <v>37</v>
      </c>
      <c r="D4" s="4"/>
    </row>
    <row r="5" spans="1:4" x14ac:dyDescent="0.25">
      <c r="A5" s="16">
        <f t="shared" si="0"/>
        <v>2048</v>
      </c>
      <c r="B5" s="20">
        <v>0</v>
      </c>
      <c r="C5" s="4" t="s">
        <v>17</v>
      </c>
      <c r="D5" s="4"/>
    </row>
    <row r="6" spans="1:4" x14ac:dyDescent="0.25">
      <c r="A6" s="16">
        <f t="shared" si="0"/>
        <v>1024</v>
      </c>
      <c r="B6" s="20">
        <v>0</v>
      </c>
      <c r="C6" s="4" t="s">
        <v>18</v>
      </c>
      <c r="D6" s="4"/>
    </row>
    <row r="7" spans="1:4" x14ac:dyDescent="0.25">
      <c r="A7" s="16">
        <f t="shared" si="0"/>
        <v>512</v>
      </c>
      <c r="B7" s="21">
        <v>1</v>
      </c>
      <c r="C7" s="4" t="s">
        <v>19</v>
      </c>
      <c r="D7" s="4"/>
    </row>
    <row r="8" spans="1:4" x14ac:dyDescent="0.25">
      <c r="A8" s="16">
        <f t="shared" si="0"/>
        <v>256</v>
      </c>
      <c r="B8" s="20">
        <v>0</v>
      </c>
      <c r="C8" s="4" t="s">
        <v>20</v>
      </c>
      <c r="D8" s="4"/>
    </row>
    <row r="9" spans="1:4" x14ac:dyDescent="0.25">
      <c r="A9" s="16">
        <f t="shared" si="0"/>
        <v>128</v>
      </c>
      <c r="B9" s="20">
        <v>0</v>
      </c>
      <c r="C9" s="4" t="s">
        <v>21</v>
      </c>
      <c r="D9" s="4"/>
    </row>
    <row r="10" spans="1:4" x14ac:dyDescent="0.25">
      <c r="A10" s="16">
        <f t="shared" si="0"/>
        <v>64</v>
      </c>
      <c r="B10" s="20">
        <v>0</v>
      </c>
      <c r="C10" s="4" t="s">
        <v>22</v>
      </c>
      <c r="D10" s="4"/>
    </row>
    <row r="11" spans="1:4" x14ac:dyDescent="0.25">
      <c r="A11" s="16">
        <f t="shared" si="0"/>
        <v>32</v>
      </c>
      <c r="B11" s="20">
        <v>1</v>
      </c>
      <c r="C11" s="4" t="s">
        <v>23</v>
      </c>
      <c r="D11" s="4"/>
    </row>
    <row r="12" spans="1:4" x14ac:dyDescent="0.25">
      <c r="A12" s="16">
        <f t="shared" si="0"/>
        <v>16</v>
      </c>
      <c r="B12" s="20">
        <v>0</v>
      </c>
      <c r="C12" s="4" t="s">
        <v>24</v>
      </c>
      <c r="D12" s="4"/>
    </row>
    <row r="13" spans="1:4" x14ac:dyDescent="0.25">
      <c r="A13" s="16">
        <f t="shared" si="0"/>
        <v>8</v>
      </c>
      <c r="B13" s="20">
        <v>0</v>
      </c>
      <c r="C13" s="4" t="s">
        <v>25</v>
      </c>
      <c r="D13" s="4"/>
    </row>
    <row r="14" spans="1:4" x14ac:dyDescent="0.25">
      <c r="A14" s="16">
        <f t="shared" si="0"/>
        <v>4</v>
      </c>
      <c r="B14" s="20">
        <v>1</v>
      </c>
      <c r="C14" s="4" t="s">
        <v>26</v>
      </c>
      <c r="D14" s="4"/>
    </row>
    <row r="15" spans="1:4" x14ac:dyDescent="0.25">
      <c r="A15" s="16">
        <f t="shared" si="0"/>
        <v>2</v>
      </c>
      <c r="B15" s="20">
        <v>0</v>
      </c>
      <c r="C15" s="4" t="s">
        <v>27</v>
      </c>
      <c r="D15" s="4"/>
    </row>
    <row r="16" spans="1:4" x14ac:dyDescent="0.25">
      <c r="A16" s="16">
        <f t="shared" si="0"/>
        <v>1</v>
      </c>
      <c r="B16" s="20">
        <v>0</v>
      </c>
      <c r="C16" s="4" t="s">
        <v>28</v>
      </c>
      <c r="D16" s="4"/>
    </row>
    <row r="17" spans="1:3" ht="15.75" thickBot="1" x14ac:dyDescent="0.3">
      <c r="A17" s="16">
        <v>0</v>
      </c>
      <c r="B17" s="22">
        <v>0</v>
      </c>
      <c r="C17" s="20" t="s">
        <v>39</v>
      </c>
    </row>
    <row r="18" spans="1:3" ht="15.75" thickBot="1" x14ac:dyDescent="0.3">
      <c r="A18" s="14"/>
      <c r="B18" s="15">
        <f>(B3*A3+B5*A5+B6*A6+B8*A8+B9*A9+B10*A10+B11*A11+B12*A12+B13*A13+B14*A14+B15*A15+B16)*B17+B2*A2+B7*A7+B4*A4</f>
        <v>16896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26"/>
  <sheetViews>
    <sheetView zoomScaleNormal="100" workbookViewId="0"/>
  </sheetViews>
  <sheetFormatPr defaultRowHeight="15" x14ac:dyDescent="0.25"/>
  <cols>
    <col min="1" max="1" width="8.28515625" style="4" bestFit="1" customWidth="1"/>
    <col min="2" max="2" width="49.42578125" style="4" bestFit="1" customWidth="1"/>
    <col min="3" max="16384" width="9.140625" style="4"/>
  </cols>
  <sheetData>
    <row r="1" spans="1:2" x14ac:dyDescent="0.25">
      <c r="A1" s="4" t="s">
        <v>40</v>
      </c>
      <c r="B1" s="4" t="s">
        <v>41</v>
      </c>
    </row>
    <row r="2" spans="1:2" x14ac:dyDescent="0.25">
      <c r="A2" s="4">
        <v>3118</v>
      </c>
      <c r="B2" s="4" t="s">
        <v>42</v>
      </c>
    </row>
    <row r="3" spans="1:2" x14ac:dyDescent="0.25">
      <c r="A3" s="4">
        <v>3152</v>
      </c>
      <c r="B3" s="4" t="s">
        <v>43</v>
      </c>
    </row>
    <row r="4" spans="1:2" x14ac:dyDescent="0.25">
      <c r="A4" s="4">
        <v>3218</v>
      </c>
      <c r="B4" s="4" t="s">
        <v>44</v>
      </c>
    </row>
    <row r="5" spans="1:2" x14ac:dyDescent="0.25">
      <c r="A5" s="4">
        <v>3252</v>
      </c>
      <c r="B5" s="4" t="s">
        <v>45</v>
      </c>
    </row>
    <row r="6" spans="1:2" x14ac:dyDescent="0.25">
      <c r="A6" s="4">
        <v>3318</v>
      </c>
      <c r="B6" s="4" t="s">
        <v>46</v>
      </c>
    </row>
    <row r="7" spans="1:2" x14ac:dyDescent="0.25">
      <c r="A7" s="4">
        <v>3352</v>
      </c>
      <c r="B7" s="4" t="s">
        <v>47</v>
      </c>
    </row>
    <row r="8" spans="1:2" x14ac:dyDescent="0.25">
      <c r="A8" s="4">
        <v>3418</v>
      </c>
      <c r="B8" s="4" t="s">
        <v>48</v>
      </c>
    </row>
    <row r="9" spans="1:2" x14ac:dyDescent="0.25">
      <c r="A9" s="4">
        <v>3452</v>
      </c>
      <c r="B9" s="4" t="s">
        <v>49</v>
      </c>
    </row>
    <row r="10" spans="1:2" x14ac:dyDescent="0.25">
      <c r="A10" s="4">
        <v>3585</v>
      </c>
      <c r="B10" s="4" t="s">
        <v>50</v>
      </c>
    </row>
    <row r="11" spans="1:2" x14ac:dyDescent="0.25">
      <c r="A11" s="4">
        <v>4101</v>
      </c>
      <c r="B11" s="4" t="s">
        <v>51</v>
      </c>
    </row>
    <row r="12" spans="1:2" x14ac:dyDescent="0.25">
      <c r="A12" s="4">
        <v>4102</v>
      </c>
      <c r="B12" s="4" t="s">
        <v>52</v>
      </c>
    </row>
    <row r="13" spans="1:2" x14ac:dyDescent="0.25">
      <c r="A13" s="4">
        <v>4103</v>
      </c>
      <c r="B13" s="4" t="s">
        <v>53</v>
      </c>
    </row>
    <row r="14" spans="1:2" x14ac:dyDescent="0.25">
      <c r="A14" s="4">
        <v>4104</v>
      </c>
      <c r="B14" s="4" t="s">
        <v>54</v>
      </c>
    </row>
    <row r="15" spans="1:2" x14ac:dyDescent="0.25">
      <c r="A15" s="4">
        <v>4105</v>
      </c>
      <c r="B15" s="4" t="s">
        <v>55</v>
      </c>
    </row>
    <row r="16" spans="1:2" x14ac:dyDescent="0.25">
      <c r="A16" s="4">
        <v>4106</v>
      </c>
      <c r="B16" s="4" t="s">
        <v>56</v>
      </c>
    </row>
    <row r="17" spans="1:2" x14ac:dyDescent="0.25">
      <c r="A17" s="4">
        <v>4107</v>
      </c>
      <c r="B17" s="4" t="s">
        <v>57</v>
      </c>
    </row>
    <row r="18" spans="1:2" x14ac:dyDescent="0.25">
      <c r="A18" s="4">
        <v>4108</v>
      </c>
      <c r="B18" s="4" t="s">
        <v>58</v>
      </c>
    </row>
    <row r="19" spans="1:2" x14ac:dyDescent="0.25">
      <c r="A19" s="4">
        <v>4114</v>
      </c>
      <c r="B19" s="4" t="s">
        <v>59</v>
      </c>
    </row>
    <row r="20" spans="1:2" x14ac:dyDescent="0.25">
      <c r="A20" s="4">
        <v>4115</v>
      </c>
      <c r="B20" s="4" t="s">
        <v>60</v>
      </c>
    </row>
    <row r="21" spans="1:2" x14ac:dyDescent="0.25">
      <c r="A21" s="4">
        <v>4116</v>
      </c>
      <c r="B21" s="4" t="s">
        <v>61</v>
      </c>
    </row>
    <row r="22" spans="1:2" x14ac:dyDescent="0.25">
      <c r="A22" s="4">
        <v>4117</v>
      </c>
      <c r="B22" s="4" t="s">
        <v>62</v>
      </c>
    </row>
    <row r="23" spans="1:2" x14ac:dyDescent="0.25">
      <c r="A23" s="4">
        <v>4118</v>
      </c>
      <c r="B23" s="4" t="s">
        <v>63</v>
      </c>
    </row>
    <row r="24" spans="1:2" x14ac:dyDescent="0.25">
      <c r="A24" s="4">
        <v>4119</v>
      </c>
      <c r="B24" s="4" t="s">
        <v>64</v>
      </c>
    </row>
    <row r="25" spans="1:2" x14ac:dyDescent="0.25">
      <c r="A25" s="4">
        <v>4120</v>
      </c>
      <c r="B25" s="4" t="s">
        <v>65</v>
      </c>
    </row>
    <row r="26" spans="1:2" x14ac:dyDescent="0.25">
      <c r="A26" s="4">
        <v>4121</v>
      </c>
      <c r="B26" s="4" t="s">
        <v>66</v>
      </c>
    </row>
    <row r="27" spans="1:2" x14ac:dyDescent="0.25">
      <c r="A27" s="4">
        <v>4122</v>
      </c>
      <c r="B27" s="4" t="s">
        <v>67</v>
      </c>
    </row>
    <row r="28" spans="1:2" x14ac:dyDescent="0.25">
      <c r="A28" s="4">
        <v>4123</v>
      </c>
      <c r="B28" s="4" t="s">
        <v>68</v>
      </c>
    </row>
    <row r="29" spans="1:2" x14ac:dyDescent="0.25">
      <c r="A29" s="4">
        <v>4124</v>
      </c>
      <c r="B29" s="4" t="s">
        <v>69</v>
      </c>
    </row>
    <row r="30" spans="1:2" x14ac:dyDescent="0.25">
      <c r="A30" s="4">
        <v>4125</v>
      </c>
      <c r="B30" s="4" t="s">
        <v>70</v>
      </c>
    </row>
    <row r="31" spans="1:2" x14ac:dyDescent="0.25">
      <c r="A31" s="4">
        <v>4126</v>
      </c>
      <c r="B31" s="4" t="s">
        <v>71</v>
      </c>
    </row>
    <row r="32" spans="1:2" x14ac:dyDescent="0.25">
      <c r="A32" s="4">
        <v>4127</v>
      </c>
      <c r="B32" s="4" t="s">
        <v>72</v>
      </c>
    </row>
    <row r="33" spans="1:2" x14ac:dyDescent="0.25">
      <c r="A33" s="4">
        <v>4128</v>
      </c>
      <c r="B33" s="4" t="s">
        <v>73</v>
      </c>
    </row>
    <row r="34" spans="1:2" x14ac:dyDescent="0.25">
      <c r="A34" s="4">
        <v>4129</v>
      </c>
      <c r="B34" s="4" t="s">
        <v>1090</v>
      </c>
    </row>
    <row r="35" spans="1:2" x14ac:dyDescent="0.25">
      <c r="A35" s="4">
        <v>4130</v>
      </c>
      <c r="B35" s="31" t="s">
        <v>1091</v>
      </c>
    </row>
    <row r="36" spans="1:2" x14ac:dyDescent="0.25">
      <c r="A36" s="4">
        <v>4131</v>
      </c>
      <c r="B36" s="4" t="s">
        <v>76</v>
      </c>
    </row>
    <row r="37" spans="1:2" x14ac:dyDescent="0.25">
      <c r="A37" s="4">
        <v>4132</v>
      </c>
      <c r="B37" s="4" t="s">
        <v>77</v>
      </c>
    </row>
    <row r="38" spans="1:2" x14ac:dyDescent="0.25">
      <c r="A38" s="4">
        <v>4133</v>
      </c>
      <c r="B38" s="4" t="s">
        <v>78</v>
      </c>
    </row>
    <row r="39" spans="1:2" x14ac:dyDescent="0.25">
      <c r="A39" s="4">
        <v>4134</v>
      </c>
      <c r="B39" s="4" t="s">
        <v>79</v>
      </c>
    </row>
    <row r="40" spans="1:2" x14ac:dyDescent="0.25">
      <c r="A40" s="4">
        <v>4135</v>
      </c>
      <c r="B40" s="4" t="s">
        <v>80</v>
      </c>
    </row>
    <row r="41" spans="1:2" x14ac:dyDescent="0.25">
      <c r="A41" s="4">
        <v>4136</v>
      </c>
      <c r="B41" s="4" t="s">
        <v>81</v>
      </c>
    </row>
    <row r="42" spans="1:2" x14ac:dyDescent="0.25">
      <c r="A42" s="4">
        <v>4137</v>
      </c>
      <c r="B42" s="4" t="s">
        <v>82</v>
      </c>
    </row>
    <row r="43" spans="1:2" x14ac:dyDescent="0.25">
      <c r="A43" s="4">
        <v>4138</v>
      </c>
      <c r="B43" s="4" t="s">
        <v>83</v>
      </c>
    </row>
    <row r="44" spans="1:2" x14ac:dyDescent="0.25">
      <c r="A44" s="4">
        <v>4139</v>
      </c>
      <c r="B44" s="4" t="s">
        <v>84</v>
      </c>
    </row>
    <row r="45" spans="1:2" x14ac:dyDescent="0.25">
      <c r="A45" s="4">
        <v>4140</v>
      </c>
      <c r="B45" s="4" t="s">
        <v>85</v>
      </c>
    </row>
    <row r="46" spans="1:2" x14ac:dyDescent="0.25">
      <c r="A46" s="4">
        <v>4141</v>
      </c>
      <c r="B46" s="4" t="s">
        <v>86</v>
      </c>
    </row>
    <row r="47" spans="1:2" x14ac:dyDescent="0.25">
      <c r="A47" s="4">
        <v>4142</v>
      </c>
      <c r="B47" s="4" t="s">
        <v>87</v>
      </c>
    </row>
    <row r="48" spans="1:2" x14ac:dyDescent="0.25">
      <c r="A48" s="4">
        <v>4143</v>
      </c>
      <c r="B48" s="4" t="s">
        <v>88</v>
      </c>
    </row>
    <row r="49" spans="1:2" x14ac:dyDescent="0.25">
      <c r="A49" s="4">
        <v>4201</v>
      </c>
      <c r="B49" s="4" t="s">
        <v>89</v>
      </c>
    </row>
    <row r="50" spans="1:2" x14ac:dyDescent="0.25">
      <c r="A50" s="4">
        <v>4202</v>
      </c>
      <c r="B50" s="4" t="s">
        <v>90</v>
      </c>
    </row>
    <row r="51" spans="1:2" x14ac:dyDescent="0.25">
      <c r="A51" s="4">
        <v>4203</v>
      </c>
      <c r="B51" s="4" t="s">
        <v>91</v>
      </c>
    </row>
    <row r="52" spans="1:2" x14ac:dyDescent="0.25">
      <c r="A52" s="4">
        <v>4204</v>
      </c>
      <c r="B52" s="4" t="s">
        <v>92</v>
      </c>
    </row>
    <row r="53" spans="1:2" x14ac:dyDescent="0.25">
      <c r="A53" s="4">
        <v>4205</v>
      </c>
      <c r="B53" s="4" t="s">
        <v>93</v>
      </c>
    </row>
    <row r="54" spans="1:2" x14ac:dyDescent="0.25">
      <c r="A54" s="4">
        <v>4206</v>
      </c>
      <c r="B54" s="4" t="s">
        <v>94</v>
      </c>
    </row>
    <row r="55" spans="1:2" x14ac:dyDescent="0.25">
      <c r="A55" s="4">
        <v>4207</v>
      </c>
      <c r="B55" s="4" t="s">
        <v>95</v>
      </c>
    </row>
    <row r="56" spans="1:2" x14ac:dyDescent="0.25">
      <c r="A56" s="4">
        <v>4208</v>
      </c>
      <c r="B56" s="4" t="s">
        <v>96</v>
      </c>
    </row>
    <row r="57" spans="1:2" x14ac:dyDescent="0.25">
      <c r="A57" s="4">
        <v>4214</v>
      </c>
      <c r="B57" s="4" t="s">
        <v>97</v>
      </c>
    </row>
    <row r="58" spans="1:2" x14ac:dyDescent="0.25">
      <c r="A58" s="4">
        <v>4215</v>
      </c>
      <c r="B58" s="4" t="s">
        <v>98</v>
      </c>
    </row>
    <row r="59" spans="1:2" x14ac:dyDescent="0.25">
      <c r="A59" s="4">
        <v>4216</v>
      </c>
      <c r="B59" s="4" t="s">
        <v>99</v>
      </c>
    </row>
    <row r="60" spans="1:2" x14ac:dyDescent="0.25">
      <c r="A60" s="4">
        <v>4217</v>
      </c>
      <c r="B60" s="4" t="s">
        <v>100</v>
      </c>
    </row>
    <row r="61" spans="1:2" x14ac:dyDescent="0.25">
      <c r="A61" s="4">
        <v>4218</v>
      </c>
      <c r="B61" s="4" t="s">
        <v>101</v>
      </c>
    </row>
    <row r="62" spans="1:2" x14ac:dyDescent="0.25">
      <c r="A62" s="4">
        <v>4219</v>
      </c>
      <c r="B62" s="4" t="s">
        <v>102</v>
      </c>
    </row>
    <row r="63" spans="1:2" x14ac:dyDescent="0.25">
      <c r="A63" s="4">
        <v>4220</v>
      </c>
      <c r="B63" s="4" t="s">
        <v>103</v>
      </c>
    </row>
    <row r="64" spans="1:2" x14ac:dyDescent="0.25">
      <c r="A64" s="4">
        <v>4221</v>
      </c>
      <c r="B64" s="4" t="s">
        <v>104</v>
      </c>
    </row>
    <row r="65" spans="1:2" x14ac:dyDescent="0.25">
      <c r="A65" s="4">
        <v>4222</v>
      </c>
      <c r="B65" s="4" t="s">
        <v>105</v>
      </c>
    </row>
    <row r="66" spans="1:2" x14ac:dyDescent="0.25">
      <c r="A66" s="4">
        <v>4223</v>
      </c>
      <c r="B66" s="4" t="s">
        <v>106</v>
      </c>
    </row>
    <row r="67" spans="1:2" x14ac:dyDescent="0.25">
      <c r="A67" s="4">
        <v>4224</v>
      </c>
      <c r="B67" s="4" t="s">
        <v>107</v>
      </c>
    </row>
    <row r="68" spans="1:2" x14ac:dyDescent="0.25">
      <c r="A68" s="4">
        <v>4225</v>
      </c>
      <c r="B68" s="4" t="s">
        <v>108</v>
      </c>
    </row>
    <row r="69" spans="1:2" x14ac:dyDescent="0.25">
      <c r="A69" s="4">
        <v>4226</v>
      </c>
      <c r="B69" s="4" t="s">
        <v>109</v>
      </c>
    </row>
    <row r="70" spans="1:2" x14ac:dyDescent="0.25">
      <c r="A70" s="4">
        <v>4227</v>
      </c>
      <c r="B70" s="4" t="s">
        <v>110</v>
      </c>
    </row>
    <row r="71" spans="1:2" x14ac:dyDescent="0.25">
      <c r="A71" s="4">
        <v>4228</v>
      </c>
      <c r="B71" s="4" t="s">
        <v>111</v>
      </c>
    </row>
    <row r="72" spans="1:2" x14ac:dyDescent="0.25">
      <c r="A72" s="4">
        <v>4229</v>
      </c>
      <c r="B72" s="4" t="s">
        <v>74</v>
      </c>
    </row>
    <row r="73" spans="1:2" x14ac:dyDescent="0.25">
      <c r="A73" s="4">
        <v>4230</v>
      </c>
      <c r="B73" s="4" t="s">
        <v>75</v>
      </c>
    </row>
    <row r="74" spans="1:2" x14ac:dyDescent="0.25">
      <c r="A74" s="4">
        <v>4231</v>
      </c>
      <c r="B74" s="4" t="s">
        <v>112</v>
      </c>
    </row>
    <row r="75" spans="1:2" x14ac:dyDescent="0.25">
      <c r="A75" s="4">
        <v>4232</v>
      </c>
      <c r="B75" s="4" t="s">
        <v>113</v>
      </c>
    </row>
    <row r="76" spans="1:2" x14ac:dyDescent="0.25">
      <c r="A76" s="4">
        <v>4233</v>
      </c>
      <c r="B76" s="4" t="s">
        <v>114</v>
      </c>
    </row>
    <row r="77" spans="1:2" x14ac:dyDescent="0.25">
      <c r="A77" s="4">
        <v>4234</v>
      </c>
      <c r="B77" s="4" t="s">
        <v>115</v>
      </c>
    </row>
    <row r="78" spans="1:2" x14ac:dyDescent="0.25">
      <c r="A78" s="4">
        <v>4235</v>
      </c>
      <c r="B78" s="4" t="s">
        <v>116</v>
      </c>
    </row>
    <row r="79" spans="1:2" x14ac:dyDescent="0.25">
      <c r="A79" s="4">
        <v>4236</v>
      </c>
      <c r="B79" s="4" t="s">
        <v>117</v>
      </c>
    </row>
    <row r="80" spans="1:2" x14ac:dyDescent="0.25">
      <c r="A80" s="4">
        <v>4237</v>
      </c>
      <c r="B80" s="4" t="s">
        <v>118</v>
      </c>
    </row>
    <row r="81" spans="1:2" x14ac:dyDescent="0.25">
      <c r="A81" s="4">
        <v>4238</v>
      </c>
      <c r="B81" s="4" t="s">
        <v>119</v>
      </c>
    </row>
    <row r="82" spans="1:2" x14ac:dyDescent="0.25">
      <c r="A82" s="4">
        <v>4239</v>
      </c>
      <c r="B82" s="4" t="s">
        <v>120</v>
      </c>
    </row>
    <row r="83" spans="1:2" x14ac:dyDescent="0.25">
      <c r="A83" s="4">
        <v>4240</v>
      </c>
      <c r="B83" s="4" t="s">
        <v>121</v>
      </c>
    </row>
    <row r="84" spans="1:2" x14ac:dyDescent="0.25">
      <c r="A84" s="4">
        <v>4241</v>
      </c>
      <c r="B84" s="4" t="s">
        <v>122</v>
      </c>
    </row>
    <row r="85" spans="1:2" x14ac:dyDescent="0.25">
      <c r="A85" s="4">
        <v>4242</v>
      </c>
      <c r="B85" s="4" t="s">
        <v>123</v>
      </c>
    </row>
    <row r="86" spans="1:2" x14ac:dyDescent="0.25">
      <c r="A86" s="4">
        <v>4243</v>
      </c>
      <c r="B86" s="4" t="s">
        <v>124</v>
      </c>
    </row>
    <row r="87" spans="1:2" x14ac:dyDescent="0.25">
      <c r="A87" s="4">
        <v>4301</v>
      </c>
      <c r="B87" s="4" t="s">
        <v>125</v>
      </c>
    </row>
    <row r="88" spans="1:2" x14ac:dyDescent="0.25">
      <c r="A88" s="4">
        <v>4302</v>
      </c>
      <c r="B88" s="4" t="s">
        <v>126</v>
      </c>
    </row>
    <row r="89" spans="1:2" x14ac:dyDescent="0.25">
      <c r="A89" s="4">
        <v>4303</v>
      </c>
      <c r="B89" s="4" t="s">
        <v>127</v>
      </c>
    </row>
    <row r="90" spans="1:2" x14ac:dyDescent="0.25">
      <c r="A90" s="4">
        <v>4304</v>
      </c>
      <c r="B90" s="4" t="s">
        <v>128</v>
      </c>
    </row>
    <row r="91" spans="1:2" x14ac:dyDescent="0.25">
      <c r="A91" s="4">
        <v>4305</v>
      </c>
      <c r="B91" s="4" t="s">
        <v>129</v>
      </c>
    </row>
    <row r="92" spans="1:2" x14ac:dyDescent="0.25">
      <c r="A92" s="4">
        <v>4306</v>
      </c>
      <c r="B92" s="4" t="s">
        <v>130</v>
      </c>
    </row>
    <row r="93" spans="1:2" x14ac:dyDescent="0.25">
      <c r="A93" s="4">
        <v>4307</v>
      </c>
      <c r="B93" s="4" t="s">
        <v>131</v>
      </c>
    </row>
    <row r="94" spans="1:2" x14ac:dyDescent="0.25">
      <c r="A94" s="4">
        <v>4308</v>
      </c>
      <c r="B94" s="4" t="s">
        <v>132</v>
      </c>
    </row>
    <row r="95" spans="1:2" x14ac:dyDescent="0.25">
      <c r="A95" s="4">
        <v>4314</v>
      </c>
      <c r="B95" s="4" t="s">
        <v>133</v>
      </c>
    </row>
    <row r="96" spans="1:2" x14ac:dyDescent="0.25">
      <c r="A96" s="4">
        <v>4315</v>
      </c>
      <c r="B96" s="4" t="s">
        <v>134</v>
      </c>
    </row>
    <row r="97" spans="1:2" x14ac:dyDescent="0.25">
      <c r="A97" s="4">
        <v>4316</v>
      </c>
      <c r="B97" s="4" t="s">
        <v>135</v>
      </c>
    </row>
    <row r="98" spans="1:2" x14ac:dyDescent="0.25">
      <c r="A98" s="4">
        <v>4317</v>
      </c>
      <c r="B98" s="4" t="s">
        <v>136</v>
      </c>
    </row>
    <row r="99" spans="1:2" x14ac:dyDescent="0.25">
      <c r="A99" s="4">
        <v>4318</v>
      </c>
      <c r="B99" s="4" t="s">
        <v>137</v>
      </c>
    </row>
    <row r="100" spans="1:2" x14ac:dyDescent="0.25">
      <c r="A100" s="4">
        <v>4319</v>
      </c>
      <c r="B100" s="4" t="s">
        <v>138</v>
      </c>
    </row>
    <row r="101" spans="1:2" x14ac:dyDescent="0.25">
      <c r="A101" s="4">
        <v>4320</v>
      </c>
      <c r="B101" s="4" t="s">
        <v>139</v>
      </c>
    </row>
    <row r="102" spans="1:2" x14ac:dyDescent="0.25">
      <c r="A102" s="4">
        <v>4321</v>
      </c>
      <c r="B102" s="4" t="s">
        <v>140</v>
      </c>
    </row>
    <row r="103" spans="1:2" x14ac:dyDescent="0.25">
      <c r="A103" s="4">
        <v>4322</v>
      </c>
      <c r="B103" s="4" t="s">
        <v>141</v>
      </c>
    </row>
    <row r="104" spans="1:2" x14ac:dyDescent="0.25">
      <c r="A104" s="4">
        <v>4323</v>
      </c>
      <c r="B104" s="4" t="s">
        <v>142</v>
      </c>
    </row>
    <row r="105" spans="1:2" x14ac:dyDescent="0.25">
      <c r="A105" s="4">
        <v>4324</v>
      </c>
      <c r="B105" s="4" t="s">
        <v>143</v>
      </c>
    </row>
    <row r="106" spans="1:2" x14ac:dyDescent="0.25">
      <c r="A106" s="4">
        <v>4325</v>
      </c>
      <c r="B106" s="4" t="s">
        <v>144</v>
      </c>
    </row>
    <row r="107" spans="1:2" x14ac:dyDescent="0.25">
      <c r="A107" s="4">
        <v>4326</v>
      </c>
      <c r="B107" s="4" t="s">
        <v>145</v>
      </c>
    </row>
    <row r="108" spans="1:2" x14ac:dyDescent="0.25">
      <c r="A108" s="4">
        <v>4327</v>
      </c>
      <c r="B108" s="4" t="s">
        <v>146</v>
      </c>
    </row>
    <row r="109" spans="1:2" x14ac:dyDescent="0.25">
      <c r="A109" s="4">
        <v>4328</v>
      </c>
      <c r="B109" s="4" t="s">
        <v>147</v>
      </c>
    </row>
    <row r="110" spans="1:2" x14ac:dyDescent="0.25">
      <c r="A110" s="4">
        <v>4329</v>
      </c>
      <c r="B110" s="4" t="s">
        <v>74</v>
      </c>
    </row>
    <row r="111" spans="1:2" x14ac:dyDescent="0.25">
      <c r="A111" s="4">
        <v>4330</v>
      </c>
      <c r="B111" s="4" t="s">
        <v>75</v>
      </c>
    </row>
    <row r="112" spans="1:2" x14ac:dyDescent="0.25">
      <c r="A112" s="4">
        <v>4331</v>
      </c>
      <c r="B112" s="4" t="s">
        <v>148</v>
      </c>
    </row>
    <row r="113" spans="1:2" x14ac:dyDescent="0.25">
      <c r="A113" s="4">
        <v>4332</v>
      </c>
      <c r="B113" s="4" t="s">
        <v>149</v>
      </c>
    </row>
    <row r="114" spans="1:2" x14ac:dyDescent="0.25">
      <c r="A114" s="4">
        <v>4333</v>
      </c>
      <c r="B114" s="4" t="s">
        <v>150</v>
      </c>
    </row>
    <row r="115" spans="1:2" x14ac:dyDescent="0.25">
      <c r="A115" s="4">
        <v>4334</v>
      </c>
      <c r="B115" s="4" t="s">
        <v>151</v>
      </c>
    </row>
    <row r="116" spans="1:2" x14ac:dyDescent="0.25">
      <c r="A116" s="4">
        <v>4335</v>
      </c>
      <c r="B116" s="4" t="s">
        <v>152</v>
      </c>
    </row>
    <row r="117" spans="1:2" x14ac:dyDescent="0.25">
      <c r="A117" s="4">
        <v>4336</v>
      </c>
      <c r="B117" s="4" t="s">
        <v>153</v>
      </c>
    </row>
    <row r="118" spans="1:2" x14ac:dyDescent="0.25">
      <c r="A118" s="4">
        <v>4337</v>
      </c>
      <c r="B118" s="4" t="s">
        <v>154</v>
      </c>
    </row>
    <row r="119" spans="1:2" x14ac:dyDescent="0.25">
      <c r="A119" s="4">
        <v>4338</v>
      </c>
      <c r="B119" s="4" t="s">
        <v>155</v>
      </c>
    </row>
    <row r="120" spans="1:2" x14ac:dyDescent="0.25">
      <c r="A120" s="4">
        <v>4339</v>
      </c>
      <c r="B120" s="4" t="s">
        <v>156</v>
      </c>
    </row>
    <row r="121" spans="1:2" x14ac:dyDescent="0.25">
      <c r="A121" s="4">
        <v>4340</v>
      </c>
      <c r="B121" s="4" t="s">
        <v>157</v>
      </c>
    </row>
    <row r="122" spans="1:2" x14ac:dyDescent="0.25">
      <c r="A122" s="4">
        <v>4341</v>
      </c>
      <c r="B122" s="4" t="s">
        <v>158</v>
      </c>
    </row>
    <row r="123" spans="1:2" x14ac:dyDescent="0.25">
      <c r="A123" s="4">
        <v>4342</v>
      </c>
      <c r="B123" s="4" t="s">
        <v>159</v>
      </c>
    </row>
    <row r="124" spans="1:2" x14ac:dyDescent="0.25">
      <c r="A124" s="4">
        <v>4343</v>
      </c>
      <c r="B124" s="4" t="s">
        <v>160</v>
      </c>
    </row>
    <row r="125" spans="1:2" x14ac:dyDescent="0.25">
      <c r="A125" s="4">
        <v>4401</v>
      </c>
      <c r="B125" s="4" t="s">
        <v>161</v>
      </c>
    </row>
    <row r="126" spans="1:2" x14ac:dyDescent="0.25">
      <c r="A126" s="4">
        <v>4402</v>
      </c>
      <c r="B126" s="4" t="s">
        <v>162</v>
      </c>
    </row>
    <row r="127" spans="1:2" x14ac:dyDescent="0.25">
      <c r="A127" s="4">
        <v>4403</v>
      </c>
      <c r="B127" s="4" t="s">
        <v>163</v>
      </c>
    </row>
    <row r="128" spans="1:2" x14ac:dyDescent="0.25">
      <c r="A128" s="4">
        <v>4404</v>
      </c>
      <c r="B128" s="4" t="s">
        <v>164</v>
      </c>
    </row>
    <row r="129" spans="1:2" x14ac:dyDescent="0.25">
      <c r="A129" s="4">
        <v>4405</v>
      </c>
      <c r="B129" s="4" t="s">
        <v>165</v>
      </c>
    </row>
    <row r="130" spans="1:2" x14ac:dyDescent="0.25">
      <c r="A130" s="4">
        <v>4406</v>
      </c>
      <c r="B130" s="4" t="s">
        <v>166</v>
      </c>
    </row>
    <row r="131" spans="1:2" x14ac:dyDescent="0.25">
      <c r="A131" s="4">
        <v>4407</v>
      </c>
      <c r="B131" s="4" t="s">
        <v>167</v>
      </c>
    </row>
    <row r="132" spans="1:2" x14ac:dyDescent="0.25">
      <c r="A132" s="4">
        <v>4408</v>
      </c>
      <c r="B132" s="4" t="s">
        <v>168</v>
      </c>
    </row>
    <row r="133" spans="1:2" x14ac:dyDescent="0.25">
      <c r="A133" s="4">
        <v>4414</v>
      </c>
      <c r="B133" s="4" t="s">
        <v>169</v>
      </c>
    </row>
    <row r="134" spans="1:2" x14ac:dyDescent="0.25">
      <c r="A134" s="4">
        <v>4415</v>
      </c>
      <c r="B134" s="4" t="s">
        <v>170</v>
      </c>
    </row>
    <row r="135" spans="1:2" x14ac:dyDescent="0.25">
      <c r="A135" s="4">
        <v>4416</v>
      </c>
      <c r="B135" s="4" t="s">
        <v>171</v>
      </c>
    </row>
    <row r="136" spans="1:2" x14ac:dyDescent="0.25">
      <c r="A136" s="4">
        <v>4417</v>
      </c>
      <c r="B136" s="4" t="s">
        <v>172</v>
      </c>
    </row>
    <row r="137" spans="1:2" x14ac:dyDescent="0.25">
      <c r="A137" s="4">
        <v>4418</v>
      </c>
      <c r="B137" s="4" t="s">
        <v>173</v>
      </c>
    </row>
    <row r="138" spans="1:2" x14ac:dyDescent="0.25">
      <c r="A138" s="4">
        <v>4419</v>
      </c>
      <c r="B138" s="4" t="s">
        <v>174</v>
      </c>
    </row>
    <row r="139" spans="1:2" x14ac:dyDescent="0.25">
      <c r="A139" s="4">
        <v>4420</v>
      </c>
      <c r="B139" s="4" t="s">
        <v>175</v>
      </c>
    </row>
    <row r="140" spans="1:2" x14ac:dyDescent="0.25">
      <c r="A140" s="4">
        <v>4421</v>
      </c>
      <c r="B140" s="4" t="s">
        <v>176</v>
      </c>
    </row>
    <row r="141" spans="1:2" x14ac:dyDescent="0.25">
      <c r="A141" s="4">
        <v>4422</v>
      </c>
      <c r="B141" s="4" t="s">
        <v>177</v>
      </c>
    </row>
    <row r="142" spans="1:2" x14ac:dyDescent="0.25">
      <c r="A142" s="4">
        <v>4423</v>
      </c>
      <c r="B142" s="4" t="s">
        <v>178</v>
      </c>
    </row>
    <row r="143" spans="1:2" x14ac:dyDescent="0.25">
      <c r="A143" s="4">
        <v>4424</v>
      </c>
      <c r="B143" s="4" t="s">
        <v>179</v>
      </c>
    </row>
    <row r="144" spans="1:2" x14ac:dyDescent="0.25">
      <c r="A144" s="4">
        <v>4425</v>
      </c>
      <c r="B144" s="4" t="s">
        <v>180</v>
      </c>
    </row>
    <row r="145" spans="1:2" x14ac:dyDescent="0.25">
      <c r="A145" s="4">
        <v>4426</v>
      </c>
      <c r="B145" s="4" t="s">
        <v>181</v>
      </c>
    </row>
    <row r="146" spans="1:2" x14ac:dyDescent="0.25">
      <c r="A146" s="4">
        <v>4427</v>
      </c>
      <c r="B146" s="4" t="s">
        <v>182</v>
      </c>
    </row>
    <row r="147" spans="1:2" x14ac:dyDescent="0.25">
      <c r="A147" s="4">
        <v>4428</v>
      </c>
      <c r="B147" s="4" t="s">
        <v>183</v>
      </c>
    </row>
    <row r="148" spans="1:2" x14ac:dyDescent="0.25">
      <c r="A148" s="4">
        <v>4429</v>
      </c>
      <c r="B148" s="4" t="s">
        <v>74</v>
      </c>
    </row>
    <row r="149" spans="1:2" x14ac:dyDescent="0.25">
      <c r="A149" s="4">
        <v>4430</v>
      </c>
      <c r="B149" s="4" t="s">
        <v>75</v>
      </c>
    </row>
    <row r="150" spans="1:2" x14ac:dyDescent="0.25">
      <c r="A150" s="4">
        <v>4431</v>
      </c>
      <c r="B150" s="4" t="s">
        <v>184</v>
      </c>
    </row>
    <row r="151" spans="1:2" x14ac:dyDescent="0.25">
      <c r="A151" s="4">
        <v>4432</v>
      </c>
      <c r="B151" s="4" t="s">
        <v>185</v>
      </c>
    </row>
    <row r="152" spans="1:2" x14ac:dyDescent="0.25">
      <c r="A152" s="4">
        <v>4433</v>
      </c>
      <c r="B152" s="4" t="s">
        <v>186</v>
      </c>
    </row>
    <row r="153" spans="1:2" x14ac:dyDescent="0.25">
      <c r="A153" s="4">
        <v>4434</v>
      </c>
      <c r="B153" s="4" t="s">
        <v>187</v>
      </c>
    </row>
    <row r="154" spans="1:2" x14ac:dyDescent="0.25">
      <c r="A154" s="4">
        <v>4435</v>
      </c>
      <c r="B154" s="4" t="s">
        <v>188</v>
      </c>
    </row>
    <row r="155" spans="1:2" x14ac:dyDescent="0.25">
      <c r="A155" s="4">
        <v>4436</v>
      </c>
      <c r="B155" s="4" t="s">
        <v>189</v>
      </c>
    </row>
    <row r="156" spans="1:2" x14ac:dyDescent="0.25">
      <c r="A156" s="4">
        <v>4437</v>
      </c>
      <c r="B156" s="4" t="s">
        <v>190</v>
      </c>
    </row>
    <row r="157" spans="1:2" x14ac:dyDescent="0.25">
      <c r="A157" s="4">
        <v>4438</v>
      </c>
      <c r="B157" s="4" t="s">
        <v>191</v>
      </c>
    </row>
    <row r="158" spans="1:2" x14ac:dyDescent="0.25">
      <c r="A158" s="4">
        <v>4439</v>
      </c>
      <c r="B158" s="4" t="s">
        <v>192</v>
      </c>
    </row>
    <row r="159" spans="1:2" x14ac:dyDescent="0.25">
      <c r="A159" s="4">
        <v>4440</v>
      </c>
      <c r="B159" s="4" t="s">
        <v>193</v>
      </c>
    </row>
    <row r="160" spans="1:2" x14ac:dyDescent="0.25">
      <c r="A160" s="4">
        <v>4441</v>
      </c>
      <c r="B160" s="4" t="s">
        <v>194</v>
      </c>
    </row>
    <row r="161" spans="1:2" x14ac:dyDescent="0.25">
      <c r="A161" s="4">
        <v>4442</v>
      </c>
      <c r="B161" s="4" t="s">
        <v>195</v>
      </c>
    </row>
    <row r="162" spans="1:2" x14ac:dyDescent="0.25">
      <c r="A162" s="4">
        <v>4443</v>
      </c>
      <c r="B162" s="4" t="s">
        <v>196</v>
      </c>
    </row>
    <row r="163" spans="1:2" x14ac:dyDescent="0.25">
      <c r="A163" s="4">
        <v>4501</v>
      </c>
      <c r="B163" s="4" t="s">
        <v>197</v>
      </c>
    </row>
    <row r="164" spans="1:2" x14ac:dyDescent="0.25">
      <c r="A164" s="4">
        <v>4502</v>
      </c>
      <c r="B164" s="4" t="s">
        <v>198</v>
      </c>
    </row>
    <row r="165" spans="1:2" x14ac:dyDescent="0.25">
      <c r="A165" s="4">
        <v>4503</v>
      </c>
      <c r="B165" s="4" t="s">
        <v>199</v>
      </c>
    </row>
    <row r="166" spans="1:2" x14ac:dyDescent="0.25">
      <c r="A166" s="4">
        <v>4504</v>
      </c>
      <c r="B166" s="4" t="s">
        <v>200</v>
      </c>
    </row>
    <row r="167" spans="1:2" x14ac:dyDescent="0.25">
      <c r="A167" s="4">
        <v>4505</v>
      </c>
      <c r="B167" s="4" t="s">
        <v>201</v>
      </c>
    </row>
    <row r="168" spans="1:2" x14ac:dyDescent="0.25">
      <c r="A168" s="4">
        <v>4506</v>
      </c>
      <c r="B168" s="4" t="s">
        <v>202</v>
      </c>
    </row>
    <row r="169" spans="1:2" x14ac:dyDescent="0.25">
      <c r="A169" s="4">
        <v>4507</v>
      </c>
      <c r="B169" s="4" t="s">
        <v>203</v>
      </c>
    </row>
    <row r="170" spans="1:2" x14ac:dyDescent="0.25">
      <c r="A170" s="4">
        <v>4508</v>
      </c>
      <c r="B170" s="4" t="s">
        <v>204</v>
      </c>
    </row>
    <row r="171" spans="1:2" x14ac:dyDescent="0.25">
      <c r="A171" s="4">
        <v>4509</v>
      </c>
      <c r="B171" s="4" t="s">
        <v>205</v>
      </c>
    </row>
    <row r="172" spans="1:2" x14ac:dyDescent="0.25">
      <c r="A172" s="4">
        <v>4510</v>
      </c>
      <c r="B172" s="4" t="s">
        <v>206</v>
      </c>
    </row>
    <row r="173" spans="1:2" x14ac:dyDescent="0.25">
      <c r="A173" s="4">
        <v>4511</v>
      </c>
      <c r="B173" s="4" t="s">
        <v>207</v>
      </c>
    </row>
    <row r="174" spans="1:2" x14ac:dyDescent="0.25">
      <c r="A174" s="4">
        <v>4512</v>
      </c>
      <c r="B174" s="4" t="s">
        <v>208</v>
      </c>
    </row>
    <row r="175" spans="1:2" x14ac:dyDescent="0.25">
      <c r="A175" s="4">
        <v>4513</v>
      </c>
      <c r="B175" s="4" t="s">
        <v>209</v>
      </c>
    </row>
    <row r="176" spans="1:2" x14ac:dyDescent="0.25">
      <c r="A176" s="4">
        <v>4514</v>
      </c>
      <c r="B176" s="4" t="s">
        <v>210</v>
      </c>
    </row>
    <row r="177" spans="1:2" x14ac:dyDescent="0.25">
      <c r="A177" s="4">
        <v>4515</v>
      </c>
      <c r="B177" s="4" t="s">
        <v>211</v>
      </c>
    </row>
    <row r="178" spans="1:2" x14ac:dyDescent="0.25">
      <c r="A178" s="4">
        <v>4516</v>
      </c>
      <c r="B178" s="4" t="s">
        <v>212</v>
      </c>
    </row>
    <row r="179" spans="1:2" x14ac:dyDescent="0.25">
      <c r="A179" s="4">
        <v>4847</v>
      </c>
      <c r="B179" s="4" t="s">
        <v>213</v>
      </c>
    </row>
    <row r="180" spans="1:2" x14ac:dyDescent="0.25">
      <c r="A180" s="4">
        <v>4848</v>
      </c>
      <c r="B180" s="4" t="s">
        <v>214</v>
      </c>
    </row>
    <row r="181" spans="1:2" x14ac:dyDescent="0.25">
      <c r="A181" s="4">
        <v>4849</v>
      </c>
      <c r="B181" s="4" t="s">
        <v>215</v>
      </c>
    </row>
    <row r="182" spans="1:2" x14ac:dyDescent="0.25">
      <c r="A182" s="4">
        <v>5101</v>
      </c>
      <c r="B182" s="4" t="s">
        <v>216</v>
      </c>
    </row>
    <row r="183" spans="1:2" x14ac:dyDescent="0.25">
      <c r="A183" s="4">
        <v>5102</v>
      </c>
      <c r="B183" s="4" t="s">
        <v>217</v>
      </c>
    </row>
    <row r="184" spans="1:2" x14ac:dyDescent="0.25">
      <c r="A184" s="4">
        <v>5103</v>
      </c>
      <c r="B184" s="4" t="s">
        <v>218</v>
      </c>
    </row>
    <row r="185" spans="1:2" x14ac:dyDescent="0.25">
      <c r="A185" s="4">
        <v>5104</v>
      </c>
      <c r="B185" s="4" t="s">
        <v>219</v>
      </c>
    </row>
    <row r="186" spans="1:2" x14ac:dyDescent="0.25">
      <c r="A186" s="4">
        <v>5105</v>
      </c>
      <c r="B186" s="4" t="s">
        <v>220</v>
      </c>
    </row>
    <row r="187" spans="1:2" x14ac:dyDescent="0.25">
      <c r="A187" s="4">
        <v>5106</v>
      </c>
      <c r="B187" s="4" t="s">
        <v>221</v>
      </c>
    </row>
    <row r="188" spans="1:2" x14ac:dyDescent="0.25">
      <c r="A188" s="4">
        <v>5107</v>
      </c>
      <c r="B188" s="4" t="s">
        <v>222</v>
      </c>
    </row>
    <row r="189" spans="1:2" x14ac:dyDescent="0.25">
      <c r="A189" s="4">
        <v>5108</v>
      </c>
      <c r="B189" s="4" t="s">
        <v>223</v>
      </c>
    </row>
    <row r="190" spans="1:2" x14ac:dyDescent="0.25">
      <c r="A190" s="4">
        <v>5109</v>
      </c>
      <c r="B190" s="4" t="s">
        <v>224</v>
      </c>
    </row>
    <row r="191" spans="1:2" x14ac:dyDescent="0.25">
      <c r="A191" s="4">
        <v>5110</v>
      </c>
      <c r="B191" s="4" t="s">
        <v>225</v>
      </c>
    </row>
    <row r="192" spans="1:2" x14ac:dyDescent="0.25">
      <c r="A192" s="4">
        <v>5111</v>
      </c>
      <c r="B192" s="4" t="s">
        <v>226</v>
      </c>
    </row>
    <row r="193" spans="1:2" x14ac:dyDescent="0.25">
      <c r="A193" s="4">
        <v>5112</v>
      </c>
      <c r="B193" s="4" t="s">
        <v>227</v>
      </c>
    </row>
    <row r="194" spans="1:2" x14ac:dyDescent="0.25">
      <c r="A194" s="4">
        <v>5113</v>
      </c>
      <c r="B194" s="4" t="s">
        <v>228</v>
      </c>
    </row>
    <row r="195" spans="1:2" x14ac:dyDescent="0.25">
      <c r="A195" s="4">
        <v>5114</v>
      </c>
      <c r="B195" s="4" t="s">
        <v>229</v>
      </c>
    </row>
    <row r="196" spans="1:2" x14ac:dyDescent="0.25">
      <c r="A196" s="4">
        <v>5115</v>
      </c>
      <c r="B196" s="4" t="s">
        <v>230</v>
      </c>
    </row>
    <row r="197" spans="1:2" x14ac:dyDescent="0.25">
      <c r="A197" s="4">
        <v>5116</v>
      </c>
      <c r="B197" s="4" t="s">
        <v>231</v>
      </c>
    </row>
    <row r="198" spans="1:2" x14ac:dyDescent="0.25">
      <c r="A198" s="4">
        <v>5117</v>
      </c>
      <c r="B198" s="4" t="s">
        <v>232</v>
      </c>
    </row>
    <row r="199" spans="1:2" x14ac:dyDescent="0.25">
      <c r="A199" s="4">
        <v>5118</v>
      </c>
      <c r="B199" s="4" t="s">
        <v>233</v>
      </c>
    </row>
    <row r="200" spans="1:2" x14ac:dyDescent="0.25">
      <c r="A200" s="4">
        <v>5119</v>
      </c>
      <c r="B200" s="4" t="s">
        <v>234</v>
      </c>
    </row>
    <row r="201" spans="1:2" x14ac:dyDescent="0.25">
      <c r="A201" s="4">
        <v>5139</v>
      </c>
      <c r="B201" s="4" t="s">
        <v>235</v>
      </c>
    </row>
    <row r="202" spans="1:2" x14ac:dyDescent="0.25">
      <c r="A202" s="4">
        <v>5140</v>
      </c>
      <c r="B202" s="4" t="s">
        <v>236</v>
      </c>
    </row>
    <row r="203" spans="1:2" x14ac:dyDescent="0.25">
      <c r="A203" s="4">
        <v>5141</v>
      </c>
      <c r="B203" s="4" t="s">
        <v>237</v>
      </c>
    </row>
    <row r="204" spans="1:2" x14ac:dyDescent="0.25">
      <c r="A204" s="4">
        <v>5142</v>
      </c>
      <c r="B204" s="4" t="s">
        <v>238</v>
      </c>
    </row>
    <row r="205" spans="1:2" x14ac:dyDescent="0.25">
      <c r="A205" s="4">
        <v>5143</v>
      </c>
      <c r="B205" s="4" t="s">
        <v>239</v>
      </c>
    </row>
    <row r="206" spans="1:2" x14ac:dyDescent="0.25">
      <c r="A206" s="4">
        <v>5144</v>
      </c>
      <c r="B206" s="4" t="s">
        <v>240</v>
      </c>
    </row>
    <row r="207" spans="1:2" x14ac:dyDescent="0.25">
      <c r="A207" s="4">
        <v>5150</v>
      </c>
      <c r="B207" s="4" t="s">
        <v>241</v>
      </c>
    </row>
    <row r="208" spans="1:2" x14ac:dyDescent="0.25">
      <c r="A208" s="4">
        <v>5151</v>
      </c>
      <c r="B208" s="4" t="s">
        <v>242</v>
      </c>
    </row>
    <row r="209" spans="1:2" x14ac:dyDescent="0.25">
      <c r="A209" s="4">
        <v>5152</v>
      </c>
      <c r="B209" s="4" t="s">
        <v>243</v>
      </c>
    </row>
    <row r="210" spans="1:2" x14ac:dyDescent="0.25">
      <c r="A210" s="4">
        <v>5153</v>
      </c>
      <c r="B210" s="4" t="s">
        <v>244</v>
      </c>
    </row>
    <row r="211" spans="1:2" x14ac:dyDescent="0.25">
      <c r="A211" s="4">
        <v>5154</v>
      </c>
      <c r="B211" s="4" t="s">
        <v>245</v>
      </c>
    </row>
    <row r="212" spans="1:2" x14ac:dyDescent="0.25">
      <c r="A212" s="4">
        <v>5155</v>
      </c>
      <c r="B212" s="4" t="s">
        <v>246</v>
      </c>
    </row>
    <row r="213" spans="1:2" x14ac:dyDescent="0.25">
      <c r="A213" s="4">
        <v>5156</v>
      </c>
      <c r="B213" s="4" t="s">
        <v>247</v>
      </c>
    </row>
    <row r="214" spans="1:2" x14ac:dyDescent="0.25">
      <c r="A214" s="4">
        <v>5157</v>
      </c>
      <c r="B214" s="4" t="s">
        <v>248</v>
      </c>
    </row>
    <row r="215" spans="1:2" x14ac:dyDescent="0.25">
      <c r="A215" s="4">
        <v>5158</v>
      </c>
      <c r="B215" s="4" t="s">
        <v>249</v>
      </c>
    </row>
    <row r="216" spans="1:2" x14ac:dyDescent="0.25">
      <c r="A216" s="4">
        <v>5159</v>
      </c>
      <c r="B216" s="4" t="s">
        <v>250</v>
      </c>
    </row>
    <row r="217" spans="1:2" x14ac:dyDescent="0.25">
      <c r="A217" s="4">
        <v>5160</v>
      </c>
      <c r="B217" s="4" t="s">
        <v>251</v>
      </c>
    </row>
    <row r="218" spans="1:2" x14ac:dyDescent="0.25">
      <c r="A218" s="4">
        <v>5161</v>
      </c>
      <c r="B218" s="4" t="s">
        <v>252</v>
      </c>
    </row>
    <row r="219" spans="1:2" x14ac:dyDescent="0.25">
      <c r="A219" s="4">
        <v>5162</v>
      </c>
      <c r="B219" s="4" t="s">
        <v>253</v>
      </c>
    </row>
    <row r="220" spans="1:2" x14ac:dyDescent="0.25">
      <c r="A220" s="4">
        <v>5163</v>
      </c>
      <c r="B220" s="4" t="s">
        <v>254</v>
      </c>
    </row>
    <row r="221" spans="1:2" x14ac:dyDescent="0.25">
      <c r="A221" s="4">
        <v>5164</v>
      </c>
      <c r="B221" s="4" t="s">
        <v>255</v>
      </c>
    </row>
    <row r="222" spans="1:2" x14ac:dyDescent="0.25">
      <c r="A222" s="4">
        <v>5165</v>
      </c>
      <c r="B222" s="4" t="s">
        <v>256</v>
      </c>
    </row>
    <row r="223" spans="1:2" x14ac:dyDescent="0.25">
      <c r="A223" s="4">
        <v>5174</v>
      </c>
      <c r="B223" s="4" t="s">
        <v>257</v>
      </c>
    </row>
    <row r="224" spans="1:2" x14ac:dyDescent="0.25">
      <c r="A224" s="4">
        <v>5175</v>
      </c>
      <c r="B224" s="4" t="s">
        <v>258</v>
      </c>
    </row>
    <row r="225" spans="1:2" x14ac:dyDescent="0.25">
      <c r="A225" s="4">
        <v>5176</v>
      </c>
      <c r="B225" s="4" t="s">
        <v>259</v>
      </c>
    </row>
    <row r="226" spans="1:2" x14ac:dyDescent="0.25">
      <c r="A226" s="4">
        <v>5177</v>
      </c>
      <c r="B226" s="4" t="s">
        <v>260</v>
      </c>
    </row>
    <row r="227" spans="1:2" x14ac:dyDescent="0.25">
      <c r="A227" s="4">
        <v>5178</v>
      </c>
      <c r="B227" s="4" t="s">
        <v>261</v>
      </c>
    </row>
    <row r="228" spans="1:2" x14ac:dyDescent="0.25">
      <c r="A228" s="4">
        <v>5179</v>
      </c>
      <c r="B228" s="4" t="s">
        <v>262</v>
      </c>
    </row>
    <row r="229" spans="1:2" x14ac:dyDescent="0.25">
      <c r="A229" s="4">
        <v>5180</v>
      </c>
      <c r="B229" s="4" t="s">
        <v>263</v>
      </c>
    </row>
    <row r="230" spans="1:2" x14ac:dyDescent="0.25">
      <c r="A230" s="4">
        <v>5181</v>
      </c>
      <c r="B230" s="4" t="s">
        <v>264</v>
      </c>
    </row>
    <row r="231" spans="1:2" x14ac:dyDescent="0.25">
      <c r="A231" s="4">
        <v>5182</v>
      </c>
      <c r="B231" s="4" t="s">
        <v>265</v>
      </c>
    </row>
    <row r="232" spans="1:2" x14ac:dyDescent="0.25">
      <c r="A232" s="4">
        <v>5183</v>
      </c>
      <c r="B232" s="4" t="s">
        <v>266</v>
      </c>
    </row>
    <row r="233" spans="1:2" x14ac:dyDescent="0.25">
      <c r="A233" s="4">
        <v>5184</v>
      </c>
      <c r="B233" s="4" t="s">
        <v>267</v>
      </c>
    </row>
    <row r="234" spans="1:2" x14ac:dyDescent="0.25">
      <c r="A234" s="4">
        <v>5185</v>
      </c>
      <c r="B234" s="4" t="s">
        <v>268</v>
      </c>
    </row>
    <row r="235" spans="1:2" x14ac:dyDescent="0.25">
      <c r="A235" s="4">
        <v>5186</v>
      </c>
      <c r="B235" s="4" t="s">
        <v>269</v>
      </c>
    </row>
    <row r="236" spans="1:2" x14ac:dyDescent="0.25">
      <c r="A236" s="4">
        <v>5187</v>
      </c>
      <c r="B236" s="4" t="s">
        <v>270</v>
      </c>
    </row>
    <row r="237" spans="1:2" x14ac:dyDescent="0.25">
      <c r="A237" s="4">
        <v>5188</v>
      </c>
      <c r="B237" s="4" t="s">
        <v>271</v>
      </c>
    </row>
    <row r="238" spans="1:2" x14ac:dyDescent="0.25">
      <c r="A238" s="4">
        <v>5189</v>
      </c>
      <c r="B238" s="4" t="s">
        <v>272</v>
      </c>
    </row>
    <row r="239" spans="1:2" x14ac:dyDescent="0.25">
      <c r="A239" s="4">
        <v>5190</v>
      </c>
      <c r="B239" s="4" t="s">
        <v>273</v>
      </c>
    </row>
    <row r="240" spans="1:2" x14ac:dyDescent="0.25">
      <c r="A240" s="4">
        <v>5191</v>
      </c>
      <c r="B240" s="4" t="s">
        <v>274</v>
      </c>
    </row>
    <row r="241" spans="1:2" x14ac:dyDescent="0.25">
      <c r="A241" s="4">
        <v>5194</v>
      </c>
      <c r="B241" s="4" t="s">
        <v>275</v>
      </c>
    </row>
    <row r="242" spans="1:2" x14ac:dyDescent="0.25">
      <c r="A242" s="4">
        <v>5195</v>
      </c>
      <c r="B242" s="4" t="s">
        <v>276</v>
      </c>
    </row>
    <row r="243" spans="1:2" x14ac:dyDescent="0.25">
      <c r="A243" s="4">
        <v>5196</v>
      </c>
      <c r="B243" s="4" t="s">
        <v>277</v>
      </c>
    </row>
    <row r="244" spans="1:2" x14ac:dyDescent="0.25">
      <c r="A244" s="4">
        <v>5201</v>
      </c>
      <c r="B244" s="4" t="s">
        <v>278</v>
      </c>
    </row>
    <row r="245" spans="1:2" x14ac:dyDescent="0.25">
      <c r="A245" s="4">
        <v>5202</v>
      </c>
      <c r="B245" s="4" t="s">
        <v>279</v>
      </c>
    </row>
    <row r="246" spans="1:2" x14ac:dyDescent="0.25">
      <c r="A246" s="4">
        <v>5203</v>
      </c>
      <c r="B246" s="4" t="s">
        <v>280</v>
      </c>
    </row>
    <row r="247" spans="1:2" x14ac:dyDescent="0.25">
      <c r="A247" s="4">
        <v>5204</v>
      </c>
      <c r="B247" s="4" t="s">
        <v>281</v>
      </c>
    </row>
    <row r="248" spans="1:2" x14ac:dyDescent="0.25">
      <c r="A248" s="4">
        <v>5205</v>
      </c>
      <c r="B248" s="4" t="s">
        <v>282</v>
      </c>
    </row>
    <row r="249" spans="1:2" x14ac:dyDescent="0.25">
      <c r="A249" s="4">
        <v>5206</v>
      </c>
      <c r="B249" s="4" t="s">
        <v>283</v>
      </c>
    </row>
    <row r="250" spans="1:2" x14ac:dyDescent="0.25">
      <c r="A250" s="4">
        <v>5207</v>
      </c>
      <c r="B250" s="4" t="s">
        <v>284</v>
      </c>
    </row>
    <row r="251" spans="1:2" x14ac:dyDescent="0.25">
      <c r="A251" s="4">
        <v>5208</v>
      </c>
      <c r="B251" s="4" t="s">
        <v>285</v>
      </c>
    </row>
    <row r="252" spans="1:2" x14ac:dyDescent="0.25">
      <c r="A252" s="4">
        <v>5209</v>
      </c>
      <c r="B252" s="4" t="s">
        <v>286</v>
      </c>
    </row>
    <row r="253" spans="1:2" x14ac:dyDescent="0.25">
      <c r="A253" s="4">
        <v>5210</v>
      </c>
      <c r="B253" s="4" t="s">
        <v>287</v>
      </c>
    </row>
    <row r="254" spans="1:2" x14ac:dyDescent="0.25">
      <c r="A254" s="4">
        <v>5211</v>
      </c>
      <c r="B254" s="4" t="s">
        <v>288</v>
      </c>
    </row>
    <row r="255" spans="1:2" x14ac:dyDescent="0.25">
      <c r="A255" s="4">
        <v>5212</v>
      </c>
      <c r="B255" s="4" t="s">
        <v>289</v>
      </c>
    </row>
    <row r="256" spans="1:2" x14ac:dyDescent="0.25">
      <c r="A256" s="4">
        <v>5213</v>
      </c>
      <c r="B256" s="4" t="s">
        <v>290</v>
      </c>
    </row>
    <row r="257" spans="1:2" x14ac:dyDescent="0.25">
      <c r="A257" s="4">
        <v>5214</v>
      </c>
      <c r="B257" s="4" t="s">
        <v>291</v>
      </c>
    </row>
    <row r="258" spans="1:2" x14ac:dyDescent="0.25">
      <c r="A258" s="4">
        <v>5215</v>
      </c>
      <c r="B258" s="4" t="s">
        <v>292</v>
      </c>
    </row>
    <row r="259" spans="1:2" x14ac:dyDescent="0.25">
      <c r="A259" s="4">
        <v>5216</v>
      </c>
      <c r="B259" s="4" t="s">
        <v>293</v>
      </c>
    </row>
    <row r="260" spans="1:2" x14ac:dyDescent="0.25">
      <c r="A260" s="4">
        <v>5217</v>
      </c>
      <c r="B260" s="4" t="s">
        <v>294</v>
      </c>
    </row>
    <row r="261" spans="1:2" x14ac:dyDescent="0.25">
      <c r="A261" s="4">
        <v>5218</v>
      </c>
      <c r="B261" s="4" t="s">
        <v>295</v>
      </c>
    </row>
    <row r="262" spans="1:2" x14ac:dyDescent="0.25">
      <c r="A262" s="4">
        <v>5219</v>
      </c>
      <c r="B262" s="4" t="s">
        <v>296</v>
      </c>
    </row>
    <row r="263" spans="1:2" x14ac:dyDescent="0.25">
      <c r="A263" s="4">
        <v>5239</v>
      </c>
      <c r="B263" s="4" t="s">
        <v>297</v>
      </c>
    </row>
    <row r="264" spans="1:2" x14ac:dyDescent="0.25">
      <c r="A264" s="4">
        <v>5240</v>
      </c>
      <c r="B264" s="4" t="s">
        <v>298</v>
      </c>
    </row>
    <row r="265" spans="1:2" x14ac:dyDescent="0.25">
      <c r="A265" s="4">
        <v>5241</v>
      </c>
      <c r="B265" s="4" t="s">
        <v>299</v>
      </c>
    </row>
    <row r="266" spans="1:2" x14ac:dyDescent="0.25">
      <c r="A266" s="4">
        <v>5242</v>
      </c>
      <c r="B266" s="4" t="s">
        <v>300</v>
      </c>
    </row>
    <row r="267" spans="1:2" x14ac:dyDescent="0.25">
      <c r="A267" s="4">
        <v>5250</v>
      </c>
      <c r="B267" s="4" t="s">
        <v>301</v>
      </c>
    </row>
    <row r="268" spans="1:2" x14ac:dyDescent="0.25">
      <c r="A268" s="4">
        <v>5251</v>
      </c>
      <c r="B268" s="4" t="s">
        <v>302</v>
      </c>
    </row>
    <row r="269" spans="1:2" x14ac:dyDescent="0.25">
      <c r="A269" s="4">
        <v>5252</v>
      </c>
      <c r="B269" s="4" t="s">
        <v>303</v>
      </c>
    </row>
    <row r="270" spans="1:2" x14ac:dyDescent="0.25">
      <c r="A270" s="4">
        <v>5253</v>
      </c>
      <c r="B270" s="4" t="s">
        <v>304</v>
      </c>
    </row>
    <row r="271" spans="1:2" x14ac:dyDescent="0.25">
      <c r="A271" s="4">
        <v>5254</v>
      </c>
      <c r="B271" s="4" t="s">
        <v>305</v>
      </c>
    </row>
    <row r="272" spans="1:2" x14ac:dyDescent="0.25">
      <c r="A272" s="4">
        <v>5255</v>
      </c>
      <c r="B272" s="4" t="s">
        <v>306</v>
      </c>
    </row>
    <row r="273" spans="1:2" x14ac:dyDescent="0.25">
      <c r="A273" s="4">
        <v>5256</v>
      </c>
      <c r="B273" s="4" t="s">
        <v>307</v>
      </c>
    </row>
    <row r="274" spans="1:2" x14ac:dyDescent="0.25">
      <c r="A274" s="4">
        <v>5257</v>
      </c>
      <c r="B274" s="4" t="s">
        <v>308</v>
      </c>
    </row>
    <row r="275" spans="1:2" x14ac:dyDescent="0.25">
      <c r="A275" s="4">
        <v>5258</v>
      </c>
      <c r="B275" s="4" t="s">
        <v>309</v>
      </c>
    </row>
    <row r="276" spans="1:2" x14ac:dyDescent="0.25">
      <c r="A276" s="4">
        <v>5259</v>
      </c>
      <c r="B276" s="4" t="s">
        <v>310</v>
      </c>
    </row>
    <row r="277" spans="1:2" x14ac:dyDescent="0.25">
      <c r="A277" s="4">
        <v>5260</v>
      </c>
      <c r="B277" s="4" t="s">
        <v>311</v>
      </c>
    </row>
    <row r="278" spans="1:2" x14ac:dyDescent="0.25">
      <c r="A278" s="4">
        <v>5261</v>
      </c>
      <c r="B278" s="4" t="s">
        <v>312</v>
      </c>
    </row>
    <row r="279" spans="1:2" x14ac:dyDescent="0.25">
      <c r="A279" s="4">
        <v>5262</v>
      </c>
      <c r="B279" s="4" t="s">
        <v>313</v>
      </c>
    </row>
    <row r="280" spans="1:2" x14ac:dyDescent="0.25">
      <c r="A280" s="4">
        <v>5263</v>
      </c>
      <c r="B280" s="4" t="s">
        <v>314</v>
      </c>
    </row>
    <row r="281" spans="1:2" x14ac:dyDescent="0.25">
      <c r="A281" s="4">
        <v>5264</v>
      </c>
      <c r="B281" s="4" t="s">
        <v>315</v>
      </c>
    </row>
    <row r="282" spans="1:2" x14ac:dyDescent="0.25">
      <c r="A282" s="4">
        <v>5265</v>
      </c>
      <c r="B282" s="4" t="s">
        <v>316</v>
      </c>
    </row>
    <row r="283" spans="1:2" x14ac:dyDescent="0.25">
      <c r="A283" s="4">
        <v>5274</v>
      </c>
      <c r="B283" s="4" t="s">
        <v>317</v>
      </c>
    </row>
    <row r="284" spans="1:2" x14ac:dyDescent="0.25">
      <c r="A284" s="4">
        <v>5275</v>
      </c>
      <c r="B284" s="4" t="s">
        <v>318</v>
      </c>
    </row>
    <row r="285" spans="1:2" x14ac:dyDescent="0.25">
      <c r="A285" s="4">
        <v>5276</v>
      </c>
      <c r="B285" s="4" t="s">
        <v>319</v>
      </c>
    </row>
    <row r="286" spans="1:2" x14ac:dyDescent="0.25">
      <c r="A286" s="4">
        <v>5277</v>
      </c>
      <c r="B286" s="4" t="s">
        <v>320</v>
      </c>
    </row>
    <row r="287" spans="1:2" x14ac:dyDescent="0.25">
      <c r="A287" s="4">
        <v>5278</v>
      </c>
      <c r="B287" s="4" t="s">
        <v>321</v>
      </c>
    </row>
    <row r="288" spans="1:2" x14ac:dyDescent="0.25">
      <c r="A288" s="4">
        <v>5279</v>
      </c>
      <c r="B288" s="4" t="s">
        <v>322</v>
      </c>
    </row>
    <row r="289" spans="1:2" x14ac:dyDescent="0.25">
      <c r="A289" s="4">
        <v>5280</v>
      </c>
      <c r="B289" s="4" t="s">
        <v>323</v>
      </c>
    </row>
    <row r="290" spans="1:2" x14ac:dyDescent="0.25">
      <c r="A290" s="4">
        <v>5281</v>
      </c>
      <c r="B290" s="4" t="s">
        <v>324</v>
      </c>
    </row>
    <row r="291" spans="1:2" x14ac:dyDescent="0.25">
      <c r="A291" s="4">
        <v>5282</v>
      </c>
      <c r="B291" s="4" t="s">
        <v>325</v>
      </c>
    </row>
    <row r="292" spans="1:2" x14ac:dyDescent="0.25">
      <c r="A292" s="4">
        <v>5283</v>
      </c>
      <c r="B292" s="4" t="s">
        <v>326</v>
      </c>
    </row>
    <row r="293" spans="1:2" x14ac:dyDescent="0.25">
      <c r="A293" s="4">
        <v>5284</v>
      </c>
      <c r="B293" s="4" t="s">
        <v>327</v>
      </c>
    </row>
    <row r="294" spans="1:2" x14ac:dyDescent="0.25">
      <c r="A294" s="4">
        <v>5285</v>
      </c>
      <c r="B294" s="4" t="s">
        <v>328</v>
      </c>
    </row>
    <row r="295" spans="1:2" x14ac:dyDescent="0.25">
      <c r="A295" s="4">
        <v>5286</v>
      </c>
      <c r="B295" s="4" t="s">
        <v>329</v>
      </c>
    </row>
    <row r="296" spans="1:2" x14ac:dyDescent="0.25">
      <c r="A296" s="4">
        <v>5287</v>
      </c>
      <c r="B296" s="4" t="s">
        <v>330</v>
      </c>
    </row>
    <row r="297" spans="1:2" x14ac:dyDescent="0.25">
      <c r="A297" s="4">
        <v>5288</v>
      </c>
      <c r="B297" s="4" t="s">
        <v>331</v>
      </c>
    </row>
    <row r="298" spans="1:2" x14ac:dyDescent="0.25">
      <c r="A298" s="4">
        <v>5289</v>
      </c>
      <c r="B298" s="4" t="s">
        <v>332</v>
      </c>
    </row>
    <row r="299" spans="1:2" x14ac:dyDescent="0.25">
      <c r="A299" s="4">
        <v>5290</v>
      </c>
      <c r="B299" s="4" t="s">
        <v>333</v>
      </c>
    </row>
    <row r="300" spans="1:2" x14ac:dyDescent="0.25">
      <c r="A300" s="4">
        <v>5291</v>
      </c>
      <c r="B300" s="4" t="s">
        <v>334</v>
      </c>
    </row>
    <row r="301" spans="1:2" x14ac:dyDescent="0.25">
      <c r="A301" s="4">
        <v>5294</v>
      </c>
      <c r="B301" s="4" t="s">
        <v>335</v>
      </c>
    </row>
    <row r="302" spans="1:2" x14ac:dyDescent="0.25">
      <c r="A302" s="4">
        <v>5295</v>
      </c>
      <c r="B302" s="4" t="s">
        <v>336</v>
      </c>
    </row>
    <row r="303" spans="1:2" x14ac:dyDescent="0.25">
      <c r="A303" s="4">
        <v>5296</v>
      </c>
      <c r="B303" s="4" t="s">
        <v>337</v>
      </c>
    </row>
    <row r="304" spans="1:2" x14ac:dyDescent="0.25">
      <c r="A304" s="4">
        <v>5301</v>
      </c>
      <c r="B304" s="4" t="s">
        <v>278</v>
      </c>
    </row>
    <row r="305" spans="1:2" x14ac:dyDescent="0.25">
      <c r="A305" s="4">
        <v>5302</v>
      </c>
      <c r="B305" s="4" t="s">
        <v>279</v>
      </c>
    </row>
    <row r="306" spans="1:2" x14ac:dyDescent="0.25">
      <c r="A306" s="4">
        <v>5303</v>
      </c>
      <c r="B306" s="4" t="s">
        <v>280</v>
      </c>
    </row>
    <row r="307" spans="1:2" x14ac:dyDescent="0.25">
      <c r="A307" s="4">
        <v>5304</v>
      </c>
      <c r="B307" s="4" t="s">
        <v>281</v>
      </c>
    </row>
    <row r="308" spans="1:2" x14ac:dyDescent="0.25">
      <c r="A308" s="4">
        <v>5305</v>
      </c>
      <c r="B308" s="4" t="s">
        <v>282</v>
      </c>
    </row>
    <row r="309" spans="1:2" x14ac:dyDescent="0.25">
      <c r="A309" s="4">
        <v>5306</v>
      </c>
      <c r="B309" s="4" t="s">
        <v>283</v>
      </c>
    </row>
    <row r="310" spans="1:2" x14ac:dyDescent="0.25">
      <c r="A310" s="4">
        <v>5307</v>
      </c>
      <c r="B310" s="4" t="s">
        <v>284</v>
      </c>
    </row>
    <row r="311" spans="1:2" x14ac:dyDescent="0.25">
      <c r="A311" s="4">
        <v>5308</v>
      </c>
      <c r="B311" s="4" t="s">
        <v>285</v>
      </c>
    </row>
    <row r="312" spans="1:2" x14ac:dyDescent="0.25">
      <c r="A312" s="4">
        <v>5309</v>
      </c>
      <c r="B312" s="4" t="s">
        <v>286</v>
      </c>
    </row>
    <row r="313" spans="1:2" x14ac:dyDescent="0.25">
      <c r="A313" s="4">
        <v>5310</v>
      </c>
      <c r="B313" s="4" t="s">
        <v>287</v>
      </c>
    </row>
    <row r="314" spans="1:2" x14ac:dyDescent="0.25">
      <c r="A314" s="4">
        <v>5311</v>
      </c>
      <c r="B314" s="4" t="s">
        <v>288</v>
      </c>
    </row>
    <row r="315" spans="1:2" x14ac:dyDescent="0.25">
      <c r="A315" s="4">
        <v>5312</v>
      </c>
      <c r="B315" s="4" t="s">
        <v>289</v>
      </c>
    </row>
    <row r="316" spans="1:2" x14ac:dyDescent="0.25">
      <c r="A316" s="4">
        <v>5313</v>
      </c>
      <c r="B316" s="4" t="s">
        <v>290</v>
      </c>
    </row>
    <row r="317" spans="1:2" x14ac:dyDescent="0.25">
      <c r="A317" s="4">
        <v>5314</v>
      </c>
      <c r="B317" s="4" t="s">
        <v>291</v>
      </c>
    </row>
    <row r="318" spans="1:2" x14ac:dyDescent="0.25">
      <c r="A318" s="4">
        <v>5315</v>
      </c>
      <c r="B318" s="4" t="s">
        <v>292</v>
      </c>
    </row>
    <row r="319" spans="1:2" x14ac:dyDescent="0.25">
      <c r="A319" s="4">
        <v>5316</v>
      </c>
      <c r="B319" s="4" t="s">
        <v>293</v>
      </c>
    </row>
    <row r="320" spans="1:2" x14ac:dyDescent="0.25">
      <c r="A320" s="4">
        <v>5317</v>
      </c>
      <c r="B320" s="4" t="s">
        <v>294</v>
      </c>
    </row>
    <row r="321" spans="1:2" x14ac:dyDescent="0.25">
      <c r="A321" s="4">
        <v>5318</v>
      </c>
      <c r="B321" s="4" t="s">
        <v>295</v>
      </c>
    </row>
    <row r="322" spans="1:2" x14ac:dyDescent="0.25">
      <c r="A322" s="4">
        <v>5319</v>
      </c>
      <c r="B322" s="4" t="s">
        <v>296</v>
      </c>
    </row>
    <row r="323" spans="1:2" x14ac:dyDescent="0.25">
      <c r="A323" s="4">
        <v>5339</v>
      </c>
      <c r="B323" s="4" t="s">
        <v>297</v>
      </c>
    </row>
    <row r="324" spans="1:2" x14ac:dyDescent="0.25">
      <c r="A324" s="4">
        <v>5340</v>
      </c>
      <c r="B324" s="4" t="s">
        <v>298</v>
      </c>
    </row>
    <row r="325" spans="1:2" x14ac:dyDescent="0.25">
      <c r="A325" s="4">
        <v>5341</v>
      </c>
      <c r="B325" s="4" t="s">
        <v>299</v>
      </c>
    </row>
    <row r="326" spans="1:2" x14ac:dyDescent="0.25">
      <c r="A326" s="4">
        <v>5342</v>
      </c>
      <c r="B326" s="4" t="s">
        <v>300</v>
      </c>
    </row>
    <row r="327" spans="1:2" x14ac:dyDescent="0.25">
      <c r="A327" s="4">
        <v>5350</v>
      </c>
      <c r="B327" s="4" t="s">
        <v>301</v>
      </c>
    </row>
    <row r="328" spans="1:2" x14ac:dyDescent="0.25">
      <c r="A328" s="4">
        <v>5351</v>
      </c>
      <c r="B328" s="4" t="s">
        <v>302</v>
      </c>
    </row>
    <row r="329" spans="1:2" x14ac:dyDescent="0.25">
      <c r="A329" s="4">
        <v>5352</v>
      </c>
      <c r="B329" s="4" t="s">
        <v>303</v>
      </c>
    </row>
    <row r="330" spans="1:2" x14ac:dyDescent="0.25">
      <c r="A330" s="4">
        <v>5353</v>
      </c>
      <c r="B330" s="4" t="s">
        <v>304</v>
      </c>
    </row>
    <row r="331" spans="1:2" x14ac:dyDescent="0.25">
      <c r="A331" s="4">
        <v>5354</v>
      </c>
      <c r="B331" s="4" t="s">
        <v>305</v>
      </c>
    </row>
    <row r="332" spans="1:2" x14ac:dyDescent="0.25">
      <c r="A332" s="4">
        <v>5355</v>
      </c>
      <c r="B332" s="4" t="s">
        <v>306</v>
      </c>
    </row>
    <row r="333" spans="1:2" x14ac:dyDescent="0.25">
      <c r="A333" s="4">
        <v>5356</v>
      </c>
      <c r="B333" s="4" t="s">
        <v>307</v>
      </c>
    </row>
    <row r="334" spans="1:2" x14ac:dyDescent="0.25">
      <c r="A334" s="4">
        <v>5357</v>
      </c>
      <c r="B334" s="4" t="s">
        <v>308</v>
      </c>
    </row>
    <row r="335" spans="1:2" x14ac:dyDescent="0.25">
      <c r="A335" s="4">
        <v>5358</v>
      </c>
      <c r="B335" s="4" t="s">
        <v>309</v>
      </c>
    </row>
    <row r="336" spans="1:2" x14ac:dyDescent="0.25">
      <c r="A336" s="4">
        <v>5359</v>
      </c>
      <c r="B336" s="4" t="s">
        <v>310</v>
      </c>
    </row>
    <row r="337" spans="1:2" x14ac:dyDescent="0.25">
      <c r="A337" s="4">
        <v>5360</v>
      </c>
      <c r="B337" s="4" t="s">
        <v>311</v>
      </c>
    </row>
    <row r="338" spans="1:2" x14ac:dyDescent="0.25">
      <c r="A338" s="4">
        <v>5361</v>
      </c>
      <c r="B338" s="4" t="s">
        <v>312</v>
      </c>
    </row>
    <row r="339" spans="1:2" x14ac:dyDescent="0.25">
      <c r="A339" s="4">
        <v>5362</v>
      </c>
      <c r="B339" s="4" t="s">
        <v>313</v>
      </c>
    </row>
    <row r="340" spans="1:2" x14ac:dyDescent="0.25">
      <c r="A340" s="4">
        <v>5363</v>
      </c>
      <c r="B340" s="4" t="s">
        <v>314</v>
      </c>
    </row>
    <row r="341" spans="1:2" x14ac:dyDescent="0.25">
      <c r="A341" s="4">
        <v>5364</v>
      </c>
      <c r="B341" s="4" t="s">
        <v>315</v>
      </c>
    </row>
    <row r="342" spans="1:2" x14ac:dyDescent="0.25">
      <c r="A342" s="4">
        <v>5365</v>
      </c>
      <c r="B342" s="4" t="s">
        <v>316</v>
      </c>
    </row>
    <row r="343" spans="1:2" x14ac:dyDescent="0.25">
      <c r="A343" s="4">
        <v>5375</v>
      </c>
      <c r="B343" s="4" t="s">
        <v>318</v>
      </c>
    </row>
    <row r="344" spans="1:2" x14ac:dyDescent="0.25">
      <c r="A344" s="4">
        <v>5376</v>
      </c>
      <c r="B344" s="4" t="s">
        <v>319</v>
      </c>
    </row>
    <row r="345" spans="1:2" x14ac:dyDescent="0.25">
      <c r="A345" s="4">
        <v>5377</v>
      </c>
      <c r="B345" s="4" t="s">
        <v>320</v>
      </c>
    </row>
    <row r="346" spans="1:2" x14ac:dyDescent="0.25">
      <c r="A346" s="4">
        <v>5378</v>
      </c>
      <c r="B346" s="4" t="s">
        <v>321</v>
      </c>
    </row>
    <row r="347" spans="1:2" x14ac:dyDescent="0.25">
      <c r="A347" s="4">
        <v>5379</v>
      </c>
      <c r="B347" s="4" t="s">
        <v>322</v>
      </c>
    </row>
    <row r="348" spans="1:2" x14ac:dyDescent="0.25">
      <c r="A348" s="4">
        <v>5380</v>
      </c>
      <c r="B348" s="4" t="s">
        <v>323</v>
      </c>
    </row>
    <row r="349" spans="1:2" x14ac:dyDescent="0.25">
      <c r="A349" s="4">
        <v>5381</v>
      </c>
      <c r="B349" s="4" t="s">
        <v>324</v>
      </c>
    </row>
    <row r="350" spans="1:2" x14ac:dyDescent="0.25">
      <c r="A350" s="4">
        <v>5382</v>
      </c>
      <c r="B350" s="4" t="s">
        <v>325</v>
      </c>
    </row>
    <row r="351" spans="1:2" x14ac:dyDescent="0.25">
      <c r="A351" s="4">
        <v>5383</v>
      </c>
      <c r="B351" s="4" t="s">
        <v>326</v>
      </c>
    </row>
    <row r="352" spans="1:2" x14ac:dyDescent="0.25">
      <c r="A352" s="4">
        <v>5384</v>
      </c>
      <c r="B352" s="4" t="s">
        <v>327</v>
      </c>
    </row>
    <row r="353" spans="1:2" x14ac:dyDescent="0.25">
      <c r="A353" s="4">
        <v>5385</v>
      </c>
      <c r="B353" s="4" t="s">
        <v>328</v>
      </c>
    </row>
    <row r="354" spans="1:2" x14ac:dyDescent="0.25">
      <c r="A354" s="4">
        <v>5386</v>
      </c>
      <c r="B354" s="4" t="s">
        <v>329</v>
      </c>
    </row>
    <row r="355" spans="1:2" x14ac:dyDescent="0.25">
      <c r="A355" s="4">
        <v>5387</v>
      </c>
      <c r="B355" s="4" t="s">
        <v>330</v>
      </c>
    </row>
    <row r="356" spans="1:2" x14ac:dyDescent="0.25">
      <c r="A356" s="4">
        <v>5388</v>
      </c>
      <c r="B356" s="4" t="s">
        <v>331</v>
      </c>
    </row>
    <row r="357" spans="1:2" x14ac:dyDescent="0.25">
      <c r="A357" s="4">
        <v>5389</v>
      </c>
      <c r="B357" s="4" t="s">
        <v>332</v>
      </c>
    </row>
    <row r="358" spans="1:2" x14ac:dyDescent="0.25">
      <c r="A358" s="4">
        <v>5390</v>
      </c>
      <c r="B358" s="4" t="s">
        <v>333</v>
      </c>
    </row>
    <row r="359" spans="1:2" x14ac:dyDescent="0.25">
      <c r="A359" s="4">
        <v>5391</v>
      </c>
      <c r="B359" s="4" t="s">
        <v>334</v>
      </c>
    </row>
    <row r="360" spans="1:2" x14ac:dyDescent="0.25">
      <c r="A360" s="4">
        <v>5394</v>
      </c>
      <c r="B360" s="4" t="s">
        <v>335</v>
      </c>
    </row>
    <row r="361" spans="1:2" x14ac:dyDescent="0.25">
      <c r="A361" s="4">
        <v>5395</v>
      </c>
      <c r="B361" s="4" t="s">
        <v>336</v>
      </c>
    </row>
    <row r="362" spans="1:2" x14ac:dyDescent="0.25">
      <c r="A362" s="4">
        <v>5396</v>
      </c>
      <c r="B362" s="4" t="s">
        <v>337</v>
      </c>
    </row>
    <row r="363" spans="1:2" x14ac:dyDescent="0.25">
      <c r="A363" s="4">
        <v>5401</v>
      </c>
      <c r="B363" s="4" t="s">
        <v>338</v>
      </c>
    </row>
    <row r="364" spans="1:2" x14ac:dyDescent="0.25">
      <c r="A364" s="4">
        <v>5402</v>
      </c>
      <c r="B364" s="4" t="s">
        <v>339</v>
      </c>
    </row>
    <row r="365" spans="1:2" x14ac:dyDescent="0.25">
      <c r="A365" s="4">
        <v>5403</v>
      </c>
      <c r="B365" s="4" t="s">
        <v>340</v>
      </c>
    </row>
    <row r="366" spans="1:2" x14ac:dyDescent="0.25">
      <c r="A366" s="4">
        <v>5404</v>
      </c>
      <c r="B366" s="4" t="s">
        <v>341</v>
      </c>
    </row>
    <row r="367" spans="1:2" x14ac:dyDescent="0.25">
      <c r="A367" s="4">
        <v>5405</v>
      </c>
      <c r="B367" s="4" t="s">
        <v>342</v>
      </c>
    </row>
    <row r="368" spans="1:2" x14ac:dyDescent="0.25">
      <c r="A368" s="4">
        <v>5406</v>
      </c>
      <c r="B368" s="4" t="s">
        <v>343</v>
      </c>
    </row>
    <row r="369" spans="1:2" x14ac:dyDescent="0.25">
      <c r="A369" s="4">
        <v>5407</v>
      </c>
      <c r="B369" s="4" t="s">
        <v>344</v>
      </c>
    </row>
    <row r="370" spans="1:2" x14ac:dyDescent="0.25">
      <c r="A370" s="4">
        <v>5408</v>
      </c>
      <c r="B370" s="4" t="s">
        <v>345</v>
      </c>
    </row>
    <row r="371" spans="1:2" x14ac:dyDescent="0.25">
      <c r="A371" s="4">
        <v>5409</v>
      </c>
      <c r="B371" s="4" t="s">
        <v>346</v>
      </c>
    </row>
    <row r="372" spans="1:2" x14ac:dyDescent="0.25">
      <c r="A372" s="4">
        <v>5410</v>
      </c>
      <c r="B372" s="4" t="s">
        <v>347</v>
      </c>
    </row>
    <row r="373" spans="1:2" x14ac:dyDescent="0.25">
      <c r="A373" s="4">
        <v>5411</v>
      </c>
      <c r="B373" s="4" t="s">
        <v>348</v>
      </c>
    </row>
    <row r="374" spans="1:2" x14ac:dyDescent="0.25">
      <c r="A374" s="4">
        <v>5412</v>
      </c>
      <c r="B374" s="4" t="s">
        <v>349</v>
      </c>
    </row>
    <row r="375" spans="1:2" x14ac:dyDescent="0.25">
      <c r="A375" s="4">
        <v>5413</v>
      </c>
      <c r="B375" s="4" t="s">
        <v>350</v>
      </c>
    </row>
    <row r="376" spans="1:2" x14ac:dyDescent="0.25">
      <c r="A376" s="4">
        <v>5414</v>
      </c>
      <c r="B376" s="4" t="s">
        <v>351</v>
      </c>
    </row>
    <row r="377" spans="1:2" x14ac:dyDescent="0.25">
      <c r="A377" s="4">
        <v>5415</v>
      </c>
      <c r="B377" s="4" t="s">
        <v>352</v>
      </c>
    </row>
    <row r="378" spans="1:2" x14ac:dyDescent="0.25">
      <c r="A378" s="4">
        <v>5416</v>
      </c>
      <c r="B378" s="4" t="s">
        <v>353</v>
      </c>
    </row>
    <row r="379" spans="1:2" x14ac:dyDescent="0.25">
      <c r="A379" s="4">
        <v>5417</v>
      </c>
      <c r="B379" s="4" t="s">
        <v>354</v>
      </c>
    </row>
    <row r="380" spans="1:2" x14ac:dyDescent="0.25">
      <c r="A380" s="4">
        <v>5418</v>
      </c>
      <c r="B380" s="4" t="s">
        <v>355</v>
      </c>
    </row>
    <row r="381" spans="1:2" x14ac:dyDescent="0.25">
      <c r="A381" s="4">
        <v>5419</v>
      </c>
      <c r="B381" s="4" t="s">
        <v>356</v>
      </c>
    </row>
    <row r="382" spans="1:2" x14ac:dyDescent="0.25">
      <c r="A382" s="4">
        <v>5439</v>
      </c>
      <c r="B382" s="4" t="s">
        <v>357</v>
      </c>
    </row>
    <row r="383" spans="1:2" x14ac:dyDescent="0.25">
      <c r="A383" s="4">
        <v>5440</v>
      </c>
      <c r="B383" s="4" t="s">
        <v>358</v>
      </c>
    </row>
    <row r="384" spans="1:2" x14ac:dyDescent="0.25">
      <c r="A384" s="4">
        <v>5441</v>
      </c>
      <c r="B384" s="4" t="s">
        <v>359</v>
      </c>
    </row>
    <row r="385" spans="1:2" x14ac:dyDescent="0.25">
      <c r="A385" s="4">
        <v>5442</v>
      </c>
      <c r="B385" s="4" t="s">
        <v>360</v>
      </c>
    </row>
    <row r="386" spans="1:2" x14ac:dyDescent="0.25">
      <c r="A386" s="4">
        <v>5450</v>
      </c>
      <c r="B386" s="4" t="s">
        <v>361</v>
      </c>
    </row>
    <row r="387" spans="1:2" x14ac:dyDescent="0.25">
      <c r="A387" s="4">
        <v>5451</v>
      </c>
      <c r="B387" s="4" t="s">
        <v>362</v>
      </c>
    </row>
    <row r="388" spans="1:2" x14ac:dyDescent="0.25">
      <c r="A388" s="4">
        <v>5452</v>
      </c>
      <c r="B388" s="4" t="s">
        <v>363</v>
      </c>
    </row>
    <row r="389" spans="1:2" x14ac:dyDescent="0.25">
      <c r="A389" s="4">
        <v>5453</v>
      </c>
      <c r="B389" s="4" t="s">
        <v>364</v>
      </c>
    </row>
    <row r="390" spans="1:2" x14ac:dyDescent="0.25">
      <c r="A390" s="4">
        <v>5454</v>
      </c>
      <c r="B390" s="4" t="s">
        <v>365</v>
      </c>
    </row>
    <row r="391" spans="1:2" x14ac:dyDescent="0.25">
      <c r="A391" s="4">
        <v>5455</v>
      </c>
      <c r="B391" s="4" t="s">
        <v>366</v>
      </c>
    </row>
    <row r="392" spans="1:2" x14ac:dyDescent="0.25">
      <c r="A392" s="4">
        <v>5456</v>
      </c>
      <c r="B392" s="4" t="s">
        <v>367</v>
      </c>
    </row>
    <row r="393" spans="1:2" x14ac:dyDescent="0.25">
      <c r="A393" s="4">
        <v>5457</v>
      </c>
      <c r="B393" s="4" t="s">
        <v>368</v>
      </c>
    </row>
    <row r="394" spans="1:2" x14ac:dyDescent="0.25">
      <c r="A394" s="4">
        <v>5458</v>
      </c>
      <c r="B394" s="4" t="s">
        <v>369</v>
      </c>
    </row>
    <row r="395" spans="1:2" x14ac:dyDescent="0.25">
      <c r="A395" s="4">
        <v>5459</v>
      </c>
      <c r="B395" s="4" t="s">
        <v>370</v>
      </c>
    </row>
    <row r="396" spans="1:2" x14ac:dyDescent="0.25">
      <c r="A396" s="4">
        <v>5460</v>
      </c>
      <c r="B396" s="4" t="s">
        <v>371</v>
      </c>
    </row>
    <row r="397" spans="1:2" x14ac:dyDescent="0.25">
      <c r="A397" s="4">
        <v>5461</v>
      </c>
      <c r="B397" s="4" t="s">
        <v>372</v>
      </c>
    </row>
    <row r="398" spans="1:2" x14ac:dyDescent="0.25">
      <c r="A398" s="4">
        <v>5462</v>
      </c>
      <c r="B398" s="4" t="s">
        <v>373</v>
      </c>
    </row>
    <row r="399" spans="1:2" x14ac:dyDescent="0.25">
      <c r="A399" s="4">
        <v>5463</v>
      </c>
      <c r="B399" s="4" t="s">
        <v>374</v>
      </c>
    </row>
    <row r="400" spans="1:2" x14ac:dyDescent="0.25">
      <c r="A400" s="4">
        <v>5464</v>
      </c>
      <c r="B400" s="4" t="s">
        <v>375</v>
      </c>
    </row>
    <row r="401" spans="1:2" x14ac:dyDescent="0.25">
      <c r="A401" s="4">
        <v>5465</v>
      </c>
      <c r="B401" s="4" t="s">
        <v>376</v>
      </c>
    </row>
    <row r="402" spans="1:2" x14ac:dyDescent="0.25">
      <c r="A402" s="4">
        <v>5475</v>
      </c>
      <c r="B402" s="4" t="s">
        <v>377</v>
      </c>
    </row>
    <row r="403" spans="1:2" x14ac:dyDescent="0.25">
      <c r="A403" s="4">
        <v>5476</v>
      </c>
      <c r="B403" s="4" t="s">
        <v>378</v>
      </c>
    </row>
    <row r="404" spans="1:2" x14ac:dyDescent="0.25">
      <c r="A404" s="4">
        <v>5477</v>
      </c>
      <c r="B404" s="4" t="s">
        <v>379</v>
      </c>
    </row>
    <row r="405" spans="1:2" x14ac:dyDescent="0.25">
      <c r="A405" s="4">
        <v>5478</v>
      </c>
      <c r="B405" s="4" t="s">
        <v>380</v>
      </c>
    </row>
    <row r="406" spans="1:2" x14ac:dyDescent="0.25">
      <c r="A406" s="4">
        <v>5479</v>
      </c>
      <c r="B406" s="4" t="s">
        <v>381</v>
      </c>
    </row>
    <row r="407" spans="1:2" x14ac:dyDescent="0.25">
      <c r="A407" s="4">
        <v>5480</v>
      </c>
      <c r="B407" s="4" t="s">
        <v>382</v>
      </c>
    </row>
    <row r="408" spans="1:2" x14ac:dyDescent="0.25">
      <c r="A408" s="4">
        <v>5481</v>
      </c>
      <c r="B408" s="4" t="s">
        <v>383</v>
      </c>
    </row>
    <row r="409" spans="1:2" x14ac:dyDescent="0.25">
      <c r="A409" s="4">
        <v>5482</v>
      </c>
      <c r="B409" s="4" t="s">
        <v>384</v>
      </c>
    </row>
    <row r="410" spans="1:2" x14ac:dyDescent="0.25">
      <c r="A410" s="4">
        <v>5483</v>
      </c>
      <c r="B410" s="4" t="s">
        <v>385</v>
      </c>
    </row>
    <row r="411" spans="1:2" x14ac:dyDescent="0.25">
      <c r="A411" s="4">
        <v>5484</v>
      </c>
      <c r="B411" s="4" t="s">
        <v>386</v>
      </c>
    </row>
    <row r="412" spans="1:2" x14ac:dyDescent="0.25">
      <c r="A412" s="4">
        <v>5485</v>
      </c>
      <c r="B412" s="4" t="s">
        <v>387</v>
      </c>
    </row>
    <row r="413" spans="1:2" x14ac:dyDescent="0.25">
      <c r="A413" s="4">
        <v>5486</v>
      </c>
      <c r="B413" s="4" t="s">
        <v>388</v>
      </c>
    </row>
    <row r="414" spans="1:2" x14ac:dyDescent="0.25">
      <c r="A414" s="4">
        <v>5487</v>
      </c>
      <c r="B414" s="4" t="s">
        <v>389</v>
      </c>
    </row>
    <row r="415" spans="1:2" x14ac:dyDescent="0.25">
      <c r="A415" s="4">
        <v>5488</v>
      </c>
      <c r="B415" s="4" t="s">
        <v>390</v>
      </c>
    </row>
    <row r="416" spans="1:2" x14ac:dyDescent="0.25">
      <c r="A416" s="4">
        <v>5489</v>
      </c>
      <c r="B416" s="4" t="s">
        <v>391</v>
      </c>
    </row>
    <row r="417" spans="1:2" x14ac:dyDescent="0.25">
      <c r="A417" s="4">
        <v>5490</v>
      </c>
      <c r="B417" s="4" t="s">
        <v>392</v>
      </c>
    </row>
    <row r="418" spans="1:2" x14ac:dyDescent="0.25">
      <c r="A418" s="4">
        <v>5491</v>
      </c>
      <c r="B418" s="4" t="s">
        <v>393</v>
      </c>
    </row>
    <row r="419" spans="1:2" x14ac:dyDescent="0.25">
      <c r="A419" s="4">
        <v>5494</v>
      </c>
      <c r="B419" s="4" t="s">
        <v>394</v>
      </c>
    </row>
    <row r="420" spans="1:2" x14ac:dyDescent="0.25">
      <c r="A420" s="4">
        <v>5495</v>
      </c>
      <c r="B420" s="4" t="s">
        <v>395</v>
      </c>
    </row>
    <row r="421" spans="1:2" x14ac:dyDescent="0.25">
      <c r="A421" s="4">
        <v>5496</v>
      </c>
      <c r="B421" s="4" t="s">
        <v>396</v>
      </c>
    </row>
    <row r="422" spans="1:2" x14ac:dyDescent="0.25">
      <c r="A422" s="4">
        <v>5501</v>
      </c>
      <c r="B422" s="4" t="s">
        <v>397</v>
      </c>
    </row>
    <row r="423" spans="1:2" x14ac:dyDescent="0.25">
      <c r="A423" s="4">
        <v>5502</v>
      </c>
      <c r="B423" s="4" t="s">
        <v>398</v>
      </c>
    </row>
    <row r="424" spans="1:2" x14ac:dyDescent="0.25">
      <c r="A424" s="4">
        <v>5503</v>
      </c>
      <c r="B424" s="4" t="s">
        <v>399</v>
      </c>
    </row>
    <row r="425" spans="1:2" x14ac:dyDescent="0.25">
      <c r="A425" s="4">
        <v>5504</v>
      </c>
      <c r="B425" s="4" t="s">
        <v>400</v>
      </c>
    </row>
    <row r="426" spans="1:2" x14ac:dyDescent="0.25">
      <c r="A426" s="4">
        <v>5505</v>
      </c>
      <c r="B426" s="4" t="s">
        <v>401</v>
      </c>
    </row>
    <row r="427" spans="1:2" x14ac:dyDescent="0.25">
      <c r="A427" s="4">
        <v>5506</v>
      </c>
      <c r="B427" s="4" t="s">
        <v>402</v>
      </c>
    </row>
    <row r="428" spans="1:2" x14ac:dyDescent="0.25">
      <c r="A428" s="4">
        <v>5507</v>
      </c>
      <c r="B428" s="4" t="s">
        <v>403</v>
      </c>
    </row>
    <row r="429" spans="1:2" x14ac:dyDescent="0.25">
      <c r="A429" s="4">
        <v>5508</v>
      </c>
      <c r="B429" s="4" t="s">
        <v>404</v>
      </c>
    </row>
    <row r="430" spans="1:2" x14ac:dyDescent="0.25">
      <c r="A430" s="4">
        <v>5509</v>
      </c>
      <c r="B430" s="4" t="s">
        <v>405</v>
      </c>
    </row>
    <row r="431" spans="1:2" x14ac:dyDescent="0.25">
      <c r="A431" s="4">
        <v>5510</v>
      </c>
      <c r="B431" s="4" t="s">
        <v>406</v>
      </c>
    </row>
    <row r="432" spans="1:2" x14ac:dyDescent="0.25">
      <c r="A432" s="4">
        <v>5511</v>
      </c>
      <c r="B432" s="4" t="s">
        <v>407</v>
      </c>
    </row>
    <row r="433" spans="1:2" x14ac:dyDescent="0.25">
      <c r="A433" s="4">
        <v>5512</v>
      </c>
      <c r="B433" s="4" t="s">
        <v>408</v>
      </c>
    </row>
    <row r="434" spans="1:2" x14ac:dyDescent="0.25">
      <c r="A434" s="4">
        <v>5513</v>
      </c>
      <c r="B434" s="4" t="s">
        <v>409</v>
      </c>
    </row>
    <row r="435" spans="1:2" x14ac:dyDescent="0.25">
      <c r="A435" s="4">
        <v>5514</v>
      </c>
      <c r="B435" s="4" t="s">
        <v>410</v>
      </c>
    </row>
    <row r="436" spans="1:2" x14ac:dyDescent="0.25">
      <c r="A436" s="4">
        <v>5515</v>
      </c>
      <c r="B436" s="4" t="s">
        <v>411</v>
      </c>
    </row>
    <row r="437" spans="1:2" x14ac:dyDescent="0.25">
      <c r="A437" s="4">
        <v>5516</v>
      </c>
      <c r="B437" s="4" t="s">
        <v>412</v>
      </c>
    </row>
    <row r="438" spans="1:2" x14ac:dyDescent="0.25">
      <c r="A438" s="4">
        <v>5517</v>
      </c>
      <c r="B438" s="4" t="s">
        <v>413</v>
      </c>
    </row>
    <row r="439" spans="1:2" x14ac:dyDescent="0.25">
      <c r="A439" s="4">
        <v>5518</v>
      </c>
      <c r="B439" s="4" t="s">
        <v>414</v>
      </c>
    </row>
    <row r="440" spans="1:2" x14ac:dyDescent="0.25">
      <c r="A440" s="4">
        <v>5519</v>
      </c>
      <c r="B440" s="4" t="s">
        <v>415</v>
      </c>
    </row>
    <row r="441" spans="1:2" x14ac:dyDescent="0.25">
      <c r="A441" s="4">
        <v>5520</v>
      </c>
      <c r="B441" s="4" t="s">
        <v>416</v>
      </c>
    </row>
    <row r="442" spans="1:2" x14ac:dyDescent="0.25">
      <c r="A442" s="4">
        <v>5521</v>
      </c>
      <c r="B442" s="4" t="s">
        <v>417</v>
      </c>
    </row>
    <row r="443" spans="1:2" x14ac:dyDescent="0.25">
      <c r="A443" s="4">
        <v>5522</v>
      </c>
      <c r="B443" s="4" t="s">
        <v>418</v>
      </c>
    </row>
    <row r="444" spans="1:2" x14ac:dyDescent="0.25">
      <c r="A444" s="4">
        <v>5523</v>
      </c>
      <c r="B444" s="4" t="s">
        <v>419</v>
      </c>
    </row>
    <row r="445" spans="1:2" x14ac:dyDescent="0.25">
      <c r="A445" s="4">
        <v>5524</v>
      </c>
      <c r="B445" s="4" t="s">
        <v>420</v>
      </c>
    </row>
    <row r="446" spans="1:2" x14ac:dyDescent="0.25">
      <c r="A446" s="4">
        <v>5525</v>
      </c>
      <c r="B446" s="4" t="s">
        <v>421</v>
      </c>
    </row>
    <row r="447" spans="1:2" x14ac:dyDescent="0.25">
      <c r="A447" s="4">
        <v>5526</v>
      </c>
      <c r="B447" s="4" t="s">
        <v>422</v>
      </c>
    </row>
    <row r="448" spans="1:2" x14ac:dyDescent="0.25">
      <c r="A448" s="4">
        <v>5527</v>
      </c>
      <c r="B448" s="4" t="s">
        <v>423</v>
      </c>
    </row>
    <row r="449" spans="1:2" x14ac:dyDescent="0.25">
      <c r="A449" s="4">
        <v>5528</v>
      </c>
      <c r="B449" s="4" t="s">
        <v>424</v>
      </c>
    </row>
    <row r="450" spans="1:2" x14ac:dyDescent="0.25">
      <c r="A450" s="4">
        <v>5532</v>
      </c>
      <c r="B450" s="4" t="s">
        <v>425</v>
      </c>
    </row>
    <row r="451" spans="1:2" x14ac:dyDescent="0.25">
      <c r="A451" s="4">
        <v>5541</v>
      </c>
      <c r="B451" s="4" t="s">
        <v>426</v>
      </c>
    </row>
    <row r="452" spans="1:2" x14ac:dyDescent="0.25">
      <c r="A452" s="4">
        <v>5542</v>
      </c>
      <c r="B452" s="4" t="s">
        <v>427</v>
      </c>
    </row>
    <row r="453" spans="1:2" x14ac:dyDescent="0.25">
      <c r="A453" s="4">
        <v>5543</v>
      </c>
      <c r="B453" s="4" t="s">
        <v>428</v>
      </c>
    </row>
    <row r="454" spans="1:2" x14ac:dyDescent="0.25">
      <c r="A454" s="4">
        <v>5544</v>
      </c>
      <c r="B454" s="4" t="s">
        <v>429</v>
      </c>
    </row>
    <row r="455" spans="1:2" x14ac:dyDescent="0.25">
      <c r="A455" s="4">
        <v>5552</v>
      </c>
      <c r="B455" s="4" t="s">
        <v>430</v>
      </c>
    </row>
    <row r="456" spans="1:2" x14ac:dyDescent="0.25">
      <c r="A456" s="4">
        <v>5555</v>
      </c>
      <c r="B456" s="4" t="s">
        <v>431</v>
      </c>
    </row>
    <row r="457" spans="1:2" x14ac:dyDescent="0.25">
      <c r="A457" s="4">
        <v>5556</v>
      </c>
      <c r="B457" s="4" t="s">
        <v>432</v>
      </c>
    </row>
    <row r="458" spans="1:2" x14ac:dyDescent="0.25">
      <c r="A458" s="4">
        <v>5558</v>
      </c>
      <c r="B458" s="4" t="s">
        <v>433</v>
      </c>
    </row>
    <row r="459" spans="1:2" x14ac:dyDescent="0.25">
      <c r="A459" s="4">
        <v>5560</v>
      </c>
      <c r="B459" s="4" t="s">
        <v>434</v>
      </c>
    </row>
    <row r="460" spans="1:2" x14ac:dyDescent="0.25">
      <c r="A460" s="4">
        <v>5561</v>
      </c>
      <c r="B460" s="4" t="s">
        <v>435</v>
      </c>
    </row>
    <row r="461" spans="1:2" x14ac:dyDescent="0.25">
      <c r="A461" s="4">
        <v>5562</v>
      </c>
      <c r="B461" s="4" t="s">
        <v>436</v>
      </c>
    </row>
    <row r="462" spans="1:2" x14ac:dyDescent="0.25">
      <c r="A462" s="4">
        <v>5563</v>
      </c>
      <c r="B462" s="4" t="s">
        <v>437</v>
      </c>
    </row>
    <row r="463" spans="1:2" x14ac:dyDescent="0.25">
      <c r="A463" s="4">
        <v>5564</v>
      </c>
      <c r="B463" s="4" t="s">
        <v>438</v>
      </c>
    </row>
    <row r="464" spans="1:2" x14ac:dyDescent="0.25">
      <c r="A464" s="4">
        <v>5572</v>
      </c>
      <c r="B464" s="4" t="s">
        <v>439</v>
      </c>
    </row>
    <row r="465" spans="1:2" x14ac:dyDescent="0.25">
      <c r="A465" s="4">
        <v>5595</v>
      </c>
      <c r="B465" s="4" t="s">
        <v>440</v>
      </c>
    </row>
    <row r="466" spans="1:2" x14ac:dyDescent="0.25">
      <c r="A466" s="4">
        <v>5596</v>
      </c>
      <c r="B466" s="4" t="s">
        <v>441</v>
      </c>
    </row>
    <row r="467" spans="1:2" x14ac:dyDescent="0.25">
      <c r="A467" s="4">
        <v>5597</v>
      </c>
      <c r="B467" s="4" t="s">
        <v>442</v>
      </c>
    </row>
    <row r="468" spans="1:2" x14ac:dyDescent="0.25">
      <c r="A468" s="4">
        <v>5598</v>
      </c>
      <c r="B468" s="4" t="s">
        <v>443</v>
      </c>
    </row>
    <row r="469" spans="1:2" x14ac:dyDescent="0.25">
      <c r="A469" s="4">
        <v>5809</v>
      </c>
      <c r="B469" s="4" t="s">
        <v>444</v>
      </c>
    </row>
    <row r="470" spans="1:2" x14ac:dyDescent="0.25">
      <c r="A470" s="4">
        <v>5810</v>
      </c>
      <c r="B470" s="4" t="s">
        <v>445</v>
      </c>
    </row>
    <row r="471" spans="1:2" x14ac:dyDescent="0.25">
      <c r="A471" s="4">
        <v>5811</v>
      </c>
      <c r="B471" s="4" t="s">
        <v>446</v>
      </c>
    </row>
    <row r="472" spans="1:2" x14ac:dyDescent="0.25">
      <c r="A472" s="4">
        <v>7101</v>
      </c>
      <c r="B472" s="4" t="s">
        <v>447</v>
      </c>
    </row>
    <row r="473" spans="1:2" x14ac:dyDescent="0.25">
      <c r="A473" s="4">
        <v>7102</v>
      </c>
      <c r="B473" s="4" t="s">
        <v>448</v>
      </c>
    </row>
    <row r="474" spans="1:2" x14ac:dyDescent="0.25">
      <c r="A474" s="4">
        <v>7103</v>
      </c>
      <c r="B474" s="4" t="s">
        <v>449</v>
      </c>
    </row>
    <row r="475" spans="1:2" x14ac:dyDescent="0.25">
      <c r="A475" s="4">
        <v>7104</v>
      </c>
      <c r="B475" s="4" t="s">
        <v>450</v>
      </c>
    </row>
    <row r="476" spans="1:2" x14ac:dyDescent="0.25">
      <c r="A476" s="4">
        <v>7105</v>
      </c>
      <c r="B476" s="4" t="s">
        <v>451</v>
      </c>
    </row>
    <row r="477" spans="1:2" x14ac:dyDescent="0.25">
      <c r="A477" s="4">
        <v>7106</v>
      </c>
      <c r="B477" s="4" t="s">
        <v>452</v>
      </c>
    </row>
    <row r="478" spans="1:2" x14ac:dyDescent="0.25">
      <c r="A478" s="4">
        <v>7107</v>
      </c>
      <c r="B478" s="4" t="s">
        <v>453</v>
      </c>
    </row>
    <row r="479" spans="1:2" x14ac:dyDescent="0.25">
      <c r="A479" s="4">
        <v>7108</v>
      </c>
      <c r="B479" s="4" t="s">
        <v>454</v>
      </c>
    </row>
    <row r="480" spans="1:2" x14ac:dyDescent="0.25">
      <c r="A480" s="4">
        <v>7109</v>
      </c>
      <c r="B480" s="4" t="s">
        <v>455</v>
      </c>
    </row>
    <row r="481" spans="1:2" x14ac:dyDescent="0.25">
      <c r="A481" s="4">
        <v>7110</v>
      </c>
      <c r="B481" s="4" t="s">
        <v>456</v>
      </c>
    </row>
    <row r="482" spans="1:2" x14ac:dyDescent="0.25">
      <c r="A482" s="4">
        <v>7111</v>
      </c>
      <c r="B482" s="4" t="s">
        <v>457</v>
      </c>
    </row>
    <row r="483" spans="1:2" x14ac:dyDescent="0.25">
      <c r="A483" s="4">
        <v>7112</v>
      </c>
      <c r="B483" s="4" t="s">
        <v>458</v>
      </c>
    </row>
    <row r="484" spans="1:2" x14ac:dyDescent="0.25">
      <c r="A484" s="4">
        <v>7113</v>
      </c>
      <c r="B484" s="4" t="s">
        <v>459</v>
      </c>
    </row>
    <row r="485" spans="1:2" x14ac:dyDescent="0.25">
      <c r="A485" s="4">
        <v>7114</v>
      </c>
      <c r="B485" s="4" t="s">
        <v>460</v>
      </c>
    </row>
    <row r="486" spans="1:2" x14ac:dyDescent="0.25">
      <c r="A486" s="4">
        <v>7115</v>
      </c>
      <c r="B486" s="4" t="s">
        <v>461</v>
      </c>
    </row>
    <row r="487" spans="1:2" x14ac:dyDescent="0.25">
      <c r="A487" s="4">
        <v>7116</v>
      </c>
      <c r="B487" s="4" t="s">
        <v>235</v>
      </c>
    </row>
    <row r="488" spans="1:2" x14ac:dyDescent="0.25">
      <c r="A488" s="4">
        <v>7117</v>
      </c>
      <c r="B488" s="4" t="s">
        <v>236</v>
      </c>
    </row>
    <row r="489" spans="1:2" x14ac:dyDescent="0.25">
      <c r="A489" s="4">
        <v>7118</v>
      </c>
      <c r="B489" s="4" t="s">
        <v>462</v>
      </c>
    </row>
    <row r="490" spans="1:2" x14ac:dyDescent="0.25">
      <c r="A490" s="4">
        <v>7119</v>
      </c>
      <c r="B490" s="4" t="s">
        <v>463</v>
      </c>
    </row>
    <row r="491" spans="1:2" x14ac:dyDescent="0.25">
      <c r="A491" s="4">
        <v>7120</v>
      </c>
      <c r="B491" s="4" t="s">
        <v>464</v>
      </c>
    </row>
    <row r="492" spans="1:2" x14ac:dyDescent="0.25">
      <c r="A492" s="4">
        <v>7121</v>
      </c>
      <c r="B492" s="4" t="s">
        <v>465</v>
      </c>
    </row>
    <row r="493" spans="1:2" x14ac:dyDescent="0.25">
      <c r="A493" s="4">
        <v>7122</v>
      </c>
      <c r="B493" s="4" t="s">
        <v>466</v>
      </c>
    </row>
    <row r="494" spans="1:2" x14ac:dyDescent="0.25">
      <c r="A494" s="4">
        <v>7123</v>
      </c>
      <c r="B494" s="4" t="s">
        <v>467</v>
      </c>
    </row>
    <row r="495" spans="1:2" x14ac:dyDescent="0.25">
      <c r="A495" s="4">
        <v>7124</v>
      </c>
      <c r="B495" s="4" t="s">
        <v>468</v>
      </c>
    </row>
    <row r="496" spans="1:2" x14ac:dyDescent="0.25">
      <c r="A496" s="4">
        <v>7125</v>
      </c>
      <c r="B496" s="4" t="s">
        <v>469</v>
      </c>
    </row>
    <row r="497" spans="1:2" x14ac:dyDescent="0.25">
      <c r="A497" s="4">
        <v>7126</v>
      </c>
      <c r="B497" s="4" t="s">
        <v>470</v>
      </c>
    </row>
    <row r="498" spans="1:2" x14ac:dyDescent="0.25">
      <c r="A498" s="4">
        <v>7127</v>
      </c>
      <c r="B498" s="4" t="s">
        <v>471</v>
      </c>
    </row>
    <row r="499" spans="1:2" x14ac:dyDescent="0.25">
      <c r="A499" s="4">
        <v>7128</v>
      </c>
      <c r="B499" s="4" t="s">
        <v>472</v>
      </c>
    </row>
    <row r="500" spans="1:2" x14ac:dyDescent="0.25">
      <c r="A500" s="4">
        <v>7129</v>
      </c>
      <c r="B500" s="4" t="s">
        <v>473</v>
      </c>
    </row>
    <row r="501" spans="1:2" x14ac:dyDescent="0.25">
      <c r="A501" s="4">
        <v>7130</v>
      </c>
      <c r="B501" s="4" t="s">
        <v>474</v>
      </c>
    </row>
    <row r="502" spans="1:2" x14ac:dyDescent="0.25">
      <c r="A502" s="4">
        <v>7131</v>
      </c>
      <c r="B502" s="4" t="s">
        <v>475</v>
      </c>
    </row>
    <row r="503" spans="1:2" x14ac:dyDescent="0.25">
      <c r="A503" s="4">
        <v>7132</v>
      </c>
      <c r="B503" s="4" t="s">
        <v>476</v>
      </c>
    </row>
    <row r="504" spans="1:2" x14ac:dyDescent="0.25">
      <c r="A504" s="4">
        <v>7133</v>
      </c>
      <c r="B504" s="4" t="s">
        <v>477</v>
      </c>
    </row>
    <row r="505" spans="1:2" x14ac:dyDescent="0.25">
      <c r="A505" s="4">
        <v>7134</v>
      </c>
      <c r="B505" s="4" t="s">
        <v>478</v>
      </c>
    </row>
    <row r="506" spans="1:2" x14ac:dyDescent="0.25">
      <c r="A506" s="4">
        <v>7135</v>
      </c>
      <c r="B506" s="4" t="s">
        <v>479</v>
      </c>
    </row>
    <row r="507" spans="1:2" x14ac:dyDescent="0.25">
      <c r="A507" s="4">
        <v>7136</v>
      </c>
      <c r="B507" s="4" t="s">
        <v>480</v>
      </c>
    </row>
    <row r="508" spans="1:2" x14ac:dyDescent="0.25">
      <c r="A508" s="4">
        <v>7137</v>
      </c>
      <c r="B508" s="4" t="s">
        <v>481</v>
      </c>
    </row>
    <row r="509" spans="1:2" x14ac:dyDescent="0.25">
      <c r="A509" s="4">
        <v>7138</v>
      </c>
      <c r="B509" s="4" t="s">
        <v>482</v>
      </c>
    </row>
    <row r="510" spans="1:2" x14ac:dyDescent="0.25">
      <c r="A510" s="4">
        <v>7139</v>
      </c>
      <c r="B510" s="4" t="s">
        <v>483</v>
      </c>
    </row>
    <row r="511" spans="1:2" x14ac:dyDescent="0.25">
      <c r="A511" s="4">
        <v>7140</v>
      </c>
      <c r="B511" s="4" t="s">
        <v>484</v>
      </c>
    </row>
    <row r="512" spans="1:2" x14ac:dyDescent="0.25">
      <c r="A512" s="4">
        <v>7141</v>
      </c>
      <c r="B512" s="4" t="s">
        <v>485</v>
      </c>
    </row>
    <row r="513" spans="1:2" x14ac:dyDescent="0.25">
      <c r="A513" s="4">
        <v>7142</v>
      </c>
      <c r="B513" s="4" t="s">
        <v>486</v>
      </c>
    </row>
    <row r="514" spans="1:2" x14ac:dyDescent="0.25">
      <c r="A514" s="4">
        <v>7143</v>
      </c>
      <c r="B514" s="4" t="s">
        <v>487</v>
      </c>
    </row>
    <row r="515" spans="1:2" x14ac:dyDescent="0.25">
      <c r="A515" s="4">
        <v>7144</v>
      </c>
      <c r="B515" s="4" t="s">
        <v>488</v>
      </c>
    </row>
    <row r="516" spans="1:2" x14ac:dyDescent="0.25">
      <c r="A516" s="4">
        <v>7145</v>
      </c>
      <c r="B516" s="4" t="s">
        <v>489</v>
      </c>
    </row>
    <row r="517" spans="1:2" x14ac:dyDescent="0.25">
      <c r="A517" s="4">
        <v>7146</v>
      </c>
      <c r="B517" s="4" t="s">
        <v>490</v>
      </c>
    </row>
    <row r="518" spans="1:2" x14ac:dyDescent="0.25">
      <c r="A518" s="4">
        <v>7147</v>
      </c>
      <c r="B518" s="4" t="s">
        <v>491</v>
      </c>
    </row>
    <row r="519" spans="1:2" x14ac:dyDescent="0.25">
      <c r="A519" s="4">
        <v>7148</v>
      </c>
      <c r="B519" s="4" t="s">
        <v>492</v>
      </c>
    </row>
    <row r="520" spans="1:2" x14ac:dyDescent="0.25">
      <c r="A520" s="4">
        <v>7149</v>
      </c>
      <c r="B520" s="4" t="s">
        <v>493</v>
      </c>
    </row>
    <row r="521" spans="1:2" x14ac:dyDescent="0.25">
      <c r="A521" s="4">
        <v>7150</v>
      </c>
      <c r="B521" s="4" t="s">
        <v>494</v>
      </c>
    </row>
    <row r="522" spans="1:2" x14ac:dyDescent="0.25">
      <c r="A522" s="4">
        <v>7151</v>
      </c>
      <c r="B522" s="4" t="s">
        <v>495</v>
      </c>
    </row>
    <row r="523" spans="1:2" x14ac:dyDescent="0.25">
      <c r="A523" s="4">
        <v>7152</v>
      </c>
      <c r="B523" s="4" t="s">
        <v>496</v>
      </c>
    </row>
    <row r="524" spans="1:2" x14ac:dyDescent="0.25">
      <c r="A524" s="4">
        <v>7153</v>
      </c>
      <c r="B524" s="4" t="s">
        <v>497</v>
      </c>
    </row>
    <row r="525" spans="1:2" x14ac:dyDescent="0.25">
      <c r="A525" s="4">
        <v>7154</v>
      </c>
      <c r="B525" s="4" t="s">
        <v>498</v>
      </c>
    </row>
    <row r="526" spans="1:2" x14ac:dyDescent="0.25">
      <c r="A526" s="4">
        <v>7155</v>
      </c>
      <c r="B526" s="4" t="s">
        <v>499</v>
      </c>
    </row>
    <row r="527" spans="1:2" x14ac:dyDescent="0.25">
      <c r="A527" s="4">
        <v>7156</v>
      </c>
      <c r="B527" s="4" t="s">
        <v>500</v>
      </c>
    </row>
    <row r="528" spans="1:2" x14ac:dyDescent="0.25">
      <c r="A528" s="4">
        <v>7157</v>
      </c>
      <c r="B528" s="4" t="s">
        <v>501</v>
      </c>
    </row>
    <row r="529" spans="1:2" x14ac:dyDescent="0.25">
      <c r="A529" s="4">
        <v>7158</v>
      </c>
      <c r="B529" s="4" t="s">
        <v>502</v>
      </c>
    </row>
    <row r="530" spans="1:2" x14ac:dyDescent="0.25">
      <c r="A530" s="4">
        <v>7159</v>
      </c>
      <c r="B530" s="4" t="s">
        <v>503</v>
      </c>
    </row>
    <row r="531" spans="1:2" x14ac:dyDescent="0.25">
      <c r="A531" s="4">
        <v>7160</v>
      </c>
      <c r="B531" s="4" t="s">
        <v>504</v>
      </c>
    </row>
    <row r="532" spans="1:2" x14ac:dyDescent="0.25">
      <c r="A532" s="4">
        <v>7161</v>
      </c>
      <c r="B532" s="4" t="s">
        <v>505</v>
      </c>
    </row>
    <row r="533" spans="1:2" x14ac:dyDescent="0.25">
      <c r="A533" s="4">
        <v>7162</v>
      </c>
      <c r="B533" s="4" t="s">
        <v>506</v>
      </c>
    </row>
    <row r="534" spans="1:2" x14ac:dyDescent="0.25">
      <c r="A534" s="4">
        <v>7163</v>
      </c>
      <c r="B534" s="4" t="s">
        <v>507</v>
      </c>
    </row>
    <row r="535" spans="1:2" x14ac:dyDescent="0.25">
      <c r="A535" s="4">
        <v>7164</v>
      </c>
      <c r="B535" s="4" t="s">
        <v>508</v>
      </c>
    </row>
    <row r="536" spans="1:2" x14ac:dyDescent="0.25">
      <c r="A536" s="4">
        <v>7165</v>
      </c>
      <c r="B536" s="4" t="s">
        <v>509</v>
      </c>
    </row>
    <row r="537" spans="1:2" x14ac:dyDescent="0.25">
      <c r="A537" s="4">
        <v>7166</v>
      </c>
      <c r="B537" s="4" t="s">
        <v>510</v>
      </c>
    </row>
    <row r="538" spans="1:2" x14ac:dyDescent="0.25">
      <c r="A538" s="4">
        <v>7167</v>
      </c>
      <c r="B538" s="4" t="s">
        <v>511</v>
      </c>
    </row>
    <row r="539" spans="1:2" x14ac:dyDescent="0.25">
      <c r="A539" s="4">
        <v>7168</v>
      </c>
      <c r="B539" s="4" t="s">
        <v>512</v>
      </c>
    </row>
    <row r="540" spans="1:2" x14ac:dyDescent="0.25">
      <c r="A540" s="4">
        <v>7169</v>
      </c>
      <c r="B540" s="4" t="s">
        <v>513</v>
      </c>
    </row>
    <row r="541" spans="1:2" x14ac:dyDescent="0.25">
      <c r="A541" s="4">
        <v>7170</v>
      </c>
      <c r="B541" s="4" t="s">
        <v>514</v>
      </c>
    </row>
    <row r="542" spans="1:2" x14ac:dyDescent="0.25">
      <c r="A542" s="4">
        <v>7171</v>
      </c>
      <c r="B542" s="4" t="s">
        <v>515</v>
      </c>
    </row>
    <row r="543" spans="1:2" x14ac:dyDescent="0.25">
      <c r="A543" s="4">
        <v>7172</v>
      </c>
      <c r="B543" s="4" t="s">
        <v>516</v>
      </c>
    </row>
    <row r="544" spans="1:2" x14ac:dyDescent="0.25">
      <c r="A544" s="4">
        <v>7173</v>
      </c>
      <c r="B544" s="4" t="s">
        <v>517</v>
      </c>
    </row>
    <row r="545" spans="1:2" x14ac:dyDescent="0.25">
      <c r="A545" s="4">
        <v>7174</v>
      </c>
      <c r="B545" s="4" t="s">
        <v>518</v>
      </c>
    </row>
    <row r="546" spans="1:2" x14ac:dyDescent="0.25">
      <c r="A546" s="4">
        <v>7175</v>
      </c>
      <c r="B546" s="4" t="s">
        <v>519</v>
      </c>
    </row>
    <row r="547" spans="1:2" x14ac:dyDescent="0.25">
      <c r="A547" s="4">
        <v>7176</v>
      </c>
      <c r="B547" s="4" t="s">
        <v>520</v>
      </c>
    </row>
    <row r="548" spans="1:2" x14ac:dyDescent="0.25">
      <c r="A548" s="4">
        <v>7177</v>
      </c>
      <c r="B548" s="4" t="s">
        <v>521</v>
      </c>
    </row>
    <row r="549" spans="1:2" x14ac:dyDescent="0.25">
      <c r="A549" s="4">
        <v>7178</v>
      </c>
      <c r="B549" s="4" t="s">
        <v>522</v>
      </c>
    </row>
    <row r="550" spans="1:2" x14ac:dyDescent="0.25">
      <c r="A550" s="4">
        <v>7179</v>
      </c>
      <c r="B550" s="4" t="s">
        <v>523</v>
      </c>
    </row>
    <row r="551" spans="1:2" x14ac:dyDescent="0.25">
      <c r="A551" s="4">
        <v>7180</v>
      </c>
      <c r="B551" s="4" t="s">
        <v>524</v>
      </c>
    </row>
    <row r="552" spans="1:2" x14ac:dyDescent="0.25">
      <c r="A552" s="4">
        <v>7181</v>
      </c>
      <c r="B552" s="4" t="s">
        <v>525</v>
      </c>
    </row>
    <row r="553" spans="1:2" x14ac:dyDescent="0.25">
      <c r="A553" s="4">
        <v>7182</v>
      </c>
      <c r="B553" s="4" t="s">
        <v>526</v>
      </c>
    </row>
    <row r="554" spans="1:2" x14ac:dyDescent="0.25">
      <c r="A554" s="4">
        <v>7183</v>
      </c>
      <c r="B554" s="4" t="s">
        <v>527</v>
      </c>
    </row>
    <row r="555" spans="1:2" x14ac:dyDescent="0.25">
      <c r="A555" s="4">
        <v>7184</v>
      </c>
      <c r="B555" s="4" t="s">
        <v>528</v>
      </c>
    </row>
    <row r="556" spans="1:2" x14ac:dyDescent="0.25">
      <c r="A556" s="4">
        <v>7185</v>
      </c>
      <c r="B556" s="4" t="s">
        <v>529</v>
      </c>
    </row>
    <row r="557" spans="1:2" x14ac:dyDescent="0.25">
      <c r="A557" s="4">
        <v>7186</v>
      </c>
      <c r="B557" s="4" t="s">
        <v>530</v>
      </c>
    </row>
    <row r="558" spans="1:2" x14ac:dyDescent="0.25">
      <c r="A558" s="4">
        <v>7187</v>
      </c>
      <c r="B558" s="4" t="s">
        <v>531</v>
      </c>
    </row>
    <row r="559" spans="1:2" x14ac:dyDescent="0.25">
      <c r="A559" s="4">
        <v>7188</v>
      </c>
      <c r="B559" s="4" t="s">
        <v>532</v>
      </c>
    </row>
    <row r="560" spans="1:2" x14ac:dyDescent="0.25">
      <c r="A560" s="4">
        <v>7189</v>
      </c>
      <c r="B560" s="4" t="s">
        <v>533</v>
      </c>
    </row>
    <row r="561" spans="1:2" x14ac:dyDescent="0.25">
      <c r="A561" s="4">
        <v>7201</v>
      </c>
      <c r="B561" s="4" t="s">
        <v>534</v>
      </c>
    </row>
    <row r="562" spans="1:2" x14ac:dyDescent="0.25">
      <c r="A562" s="4">
        <v>7202</v>
      </c>
      <c r="B562" s="4" t="s">
        <v>535</v>
      </c>
    </row>
    <row r="563" spans="1:2" x14ac:dyDescent="0.25">
      <c r="A563" s="4">
        <v>7203</v>
      </c>
      <c r="B563" s="4" t="s">
        <v>536</v>
      </c>
    </row>
    <row r="564" spans="1:2" x14ac:dyDescent="0.25">
      <c r="A564" s="4">
        <v>7204</v>
      </c>
      <c r="B564" s="4" t="s">
        <v>537</v>
      </c>
    </row>
    <row r="565" spans="1:2" x14ac:dyDescent="0.25">
      <c r="A565" s="4">
        <v>7205</v>
      </c>
      <c r="B565" s="4" t="s">
        <v>538</v>
      </c>
    </row>
    <row r="566" spans="1:2" x14ac:dyDescent="0.25">
      <c r="A566" s="4">
        <v>7206</v>
      </c>
      <c r="B566" s="4" t="s">
        <v>539</v>
      </c>
    </row>
    <row r="567" spans="1:2" x14ac:dyDescent="0.25">
      <c r="A567" s="4">
        <v>7207</v>
      </c>
      <c r="B567" s="4" t="s">
        <v>540</v>
      </c>
    </row>
    <row r="568" spans="1:2" x14ac:dyDescent="0.25">
      <c r="A568" s="4">
        <v>7208</v>
      </c>
      <c r="B568" s="4" t="s">
        <v>541</v>
      </c>
    </row>
    <row r="569" spans="1:2" x14ac:dyDescent="0.25">
      <c r="A569" s="4">
        <v>7209</v>
      </c>
      <c r="B569" s="4" t="s">
        <v>542</v>
      </c>
    </row>
    <row r="570" spans="1:2" x14ac:dyDescent="0.25">
      <c r="A570" s="4">
        <v>7210</v>
      </c>
      <c r="B570" s="4" t="s">
        <v>543</v>
      </c>
    </row>
    <row r="571" spans="1:2" x14ac:dyDescent="0.25">
      <c r="A571" s="4">
        <v>7211</v>
      </c>
      <c r="B571" s="4" t="s">
        <v>544</v>
      </c>
    </row>
    <row r="572" spans="1:2" x14ac:dyDescent="0.25">
      <c r="A572" s="4">
        <v>7212</v>
      </c>
      <c r="B572" s="4" t="s">
        <v>545</v>
      </c>
    </row>
    <row r="573" spans="1:2" x14ac:dyDescent="0.25">
      <c r="A573" s="4">
        <v>7213</v>
      </c>
      <c r="B573" s="4" t="s">
        <v>546</v>
      </c>
    </row>
    <row r="574" spans="1:2" x14ac:dyDescent="0.25">
      <c r="A574" s="4">
        <v>7214</v>
      </c>
      <c r="B574" s="4" t="s">
        <v>547</v>
      </c>
    </row>
    <row r="575" spans="1:2" x14ac:dyDescent="0.25">
      <c r="A575" s="4">
        <v>7215</v>
      </c>
      <c r="B575" s="4" t="s">
        <v>548</v>
      </c>
    </row>
    <row r="576" spans="1:2" x14ac:dyDescent="0.25">
      <c r="A576" s="4">
        <v>7216</v>
      </c>
      <c r="B576" s="4" t="s">
        <v>297</v>
      </c>
    </row>
    <row r="577" spans="1:2" x14ac:dyDescent="0.25">
      <c r="A577" s="4">
        <v>7217</v>
      </c>
      <c r="B577" s="4" t="s">
        <v>298</v>
      </c>
    </row>
    <row r="578" spans="1:2" x14ac:dyDescent="0.25">
      <c r="A578" s="4">
        <v>7218</v>
      </c>
      <c r="B578" s="4" t="s">
        <v>549</v>
      </c>
    </row>
    <row r="579" spans="1:2" x14ac:dyDescent="0.25">
      <c r="A579" s="4">
        <v>7219</v>
      </c>
      <c r="B579" s="4" t="s">
        <v>550</v>
      </c>
    </row>
    <row r="580" spans="1:2" x14ac:dyDescent="0.25">
      <c r="A580" s="4">
        <v>7220</v>
      </c>
      <c r="B580" s="4" t="s">
        <v>551</v>
      </c>
    </row>
    <row r="581" spans="1:2" x14ac:dyDescent="0.25">
      <c r="A581" s="4">
        <v>7221</v>
      </c>
      <c r="B581" s="4" t="s">
        <v>552</v>
      </c>
    </row>
    <row r="582" spans="1:2" x14ac:dyDescent="0.25">
      <c r="A582" s="4">
        <v>7222</v>
      </c>
      <c r="B582" s="4" t="s">
        <v>553</v>
      </c>
    </row>
    <row r="583" spans="1:2" x14ac:dyDescent="0.25">
      <c r="A583" s="4">
        <v>7223</v>
      </c>
      <c r="B583" s="4" t="s">
        <v>554</v>
      </c>
    </row>
    <row r="584" spans="1:2" x14ac:dyDescent="0.25">
      <c r="A584" s="4">
        <v>7224</v>
      </c>
      <c r="B584" s="4" t="s">
        <v>555</v>
      </c>
    </row>
    <row r="585" spans="1:2" x14ac:dyDescent="0.25">
      <c r="A585" s="4">
        <v>7225</v>
      </c>
      <c r="B585" s="4" t="s">
        <v>556</v>
      </c>
    </row>
    <row r="586" spans="1:2" x14ac:dyDescent="0.25">
      <c r="A586" s="4">
        <v>7226</v>
      </c>
      <c r="B586" s="4" t="s">
        <v>557</v>
      </c>
    </row>
    <row r="587" spans="1:2" x14ac:dyDescent="0.25">
      <c r="A587" s="4">
        <v>7227</v>
      </c>
      <c r="B587" s="4" t="s">
        <v>558</v>
      </c>
    </row>
    <row r="588" spans="1:2" x14ac:dyDescent="0.25">
      <c r="A588" s="4">
        <v>7228</v>
      </c>
      <c r="B588" s="4" t="s">
        <v>559</v>
      </c>
    </row>
    <row r="589" spans="1:2" x14ac:dyDescent="0.25">
      <c r="A589" s="4">
        <v>7229</v>
      </c>
      <c r="B589" s="4" t="s">
        <v>560</v>
      </c>
    </row>
    <row r="590" spans="1:2" x14ac:dyDescent="0.25">
      <c r="A590" s="4">
        <v>7230</v>
      </c>
      <c r="B590" s="4" t="s">
        <v>561</v>
      </c>
    </row>
    <row r="591" spans="1:2" x14ac:dyDescent="0.25">
      <c r="A591" s="4">
        <v>7231</v>
      </c>
      <c r="B591" s="4" t="s">
        <v>562</v>
      </c>
    </row>
    <row r="592" spans="1:2" x14ac:dyDescent="0.25">
      <c r="A592" s="4">
        <v>7232</v>
      </c>
      <c r="B592" s="4" t="s">
        <v>563</v>
      </c>
    </row>
    <row r="593" spans="1:2" x14ac:dyDescent="0.25">
      <c r="A593" s="4">
        <v>7233</v>
      </c>
      <c r="B593" s="4" t="s">
        <v>564</v>
      </c>
    </row>
    <row r="594" spans="1:2" x14ac:dyDescent="0.25">
      <c r="A594" s="4">
        <v>7234</v>
      </c>
      <c r="B594" s="4" t="s">
        <v>565</v>
      </c>
    </row>
    <row r="595" spans="1:2" x14ac:dyDescent="0.25">
      <c r="A595" s="4">
        <v>7235</v>
      </c>
      <c r="B595" s="4" t="s">
        <v>566</v>
      </c>
    </row>
    <row r="596" spans="1:2" x14ac:dyDescent="0.25">
      <c r="A596" s="4">
        <v>7236</v>
      </c>
      <c r="B596" s="4" t="s">
        <v>567</v>
      </c>
    </row>
    <row r="597" spans="1:2" x14ac:dyDescent="0.25">
      <c r="A597" s="4">
        <v>7237</v>
      </c>
      <c r="B597" s="4" t="s">
        <v>568</v>
      </c>
    </row>
    <row r="598" spans="1:2" x14ac:dyDescent="0.25">
      <c r="A598" s="4">
        <v>7238</v>
      </c>
      <c r="B598" s="4" t="s">
        <v>569</v>
      </c>
    </row>
    <row r="599" spans="1:2" x14ac:dyDescent="0.25">
      <c r="A599" s="4">
        <v>7239</v>
      </c>
      <c r="B599" s="4" t="s">
        <v>570</v>
      </c>
    </row>
    <row r="600" spans="1:2" x14ac:dyDescent="0.25">
      <c r="A600" s="4">
        <v>7240</v>
      </c>
      <c r="B600" s="4" t="s">
        <v>571</v>
      </c>
    </row>
    <row r="601" spans="1:2" x14ac:dyDescent="0.25">
      <c r="A601" s="4">
        <v>7241</v>
      </c>
      <c r="B601" s="4" t="s">
        <v>572</v>
      </c>
    </row>
    <row r="602" spans="1:2" x14ac:dyDescent="0.25">
      <c r="A602" s="4">
        <v>7242</v>
      </c>
      <c r="B602" s="4" t="s">
        <v>573</v>
      </c>
    </row>
    <row r="603" spans="1:2" x14ac:dyDescent="0.25">
      <c r="A603" s="4">
        <v>7243</v>
      </c>
      <c r="B603" s="4" t="s">
        <v>574</v>
      </c>
    </row>
    <row r="604" spans="1:2" x14ac:dyDescent="0.25">
      <c r="A604" s="4">
        <v>7244</v>
      </c>
      <c r="B604" s="4" t="s">
        <v>575</v>
      </c>
    </row>
    <row r="605" spans="1:2" x14ac:dyDescent="0.25">
      <c r="A605" s="4">
        <v>7245</v>
      </c>
      <c r="B605" s="4" t="s">
        <v>576</v>
      </c>
    </row>
    <row r="606" spans="1:2" x14ac:dyDescent="0.25">
      <c r="A606" s="4">
        <v>7246</v>
      </c>
      <c r="B606" s="4" t="s">
        <v>577</v>
      </c>
    </row>
    <row r="607" spans="1:2" x14ac:dyDescent="0.25">
      <c r="A607" s="4">
        <v>7247</v>
      </c>
      <c r="B607" s="4" t="s">
        <v>578</v>
      </c>
    </row>
    <row r="608" spans="1:2" x14ac:dyDescent="0.25">
      <c r="A608" s="4">
        <v>7248</v>
      </c>
      <c r="B608" s="4" t="s">
        <v>579</v>
      </c>
    </row>
    <row r="609" spans="1:2" x14ac:dyDescent="0.25">
      <c r="A609" s="4">
        <v>7249</v>
      </c>
      <c r="B609" s="4" t="s">
        <v>580</v>
      </c>
    </row>
    <row r="610" spans="1:2" x14ac:dyDescent="0.25">
      <c r="A610" s="4">
        <v>7250</v>
      </c>
      <c r="B610" s="4" t="s">
        <v>581</v>
      </c>
    </row>
    <row r="611" spans="1:2" x14ac:dyDescent="0.25">
      <c r="A611" s="4">
        <v>7251</v>
      </c>
      <c r="B611" s="4" t="s">
        <v>582</v>
      </c>
    </row>
    <row r="612" spans="1:2" x14ac:dyDescent="0.25">
      <c r="A612" s="4">
        <v>7252</v>
      </c>
      <c r="B612" s="4" t="s">
        <v>583</v>
      </c>
    </row>
    <row r="613" spans="1:2" x14ac:dyDescent="0.25">
      <c r="A613" s="4">
        <v>7253</v>
      </c>
      <c r="B613" s="4" t="s">
        <v>584</v>
      </c>
    </row>
    <row r="614" spans="1:2" x14ac:dyDescent="0.25">
      <c r="A614" s="4">
        <v>7254</v>
      </c>
      <c r="B614" s="4" t="s">
        <v>585</v>
      </c>
    </row>
    <row r="615" spans="1:2" x14ac:dyDescent="0.25">
      <c r="A615" s="4">
        <v>7255</v>
      </c>
      <c r="B615" s="4" t="s">
        <v>586</v>
      </c>
    </row>
    <row r="616" spans="1:2" x14ac:dyDescent="0.25">
      <c r="A616" s="4">
        <v>7256</v>
      </c>
      <c r="B616" s="4" t="s">
        <v>587</v>
      </c>
    </row>
    <row r="617" spans="1:2" x14ac:dyDescent="0.25">
      <c r="A617" s="4">
        <v>7257</v>
      </c>
      <c r="B617" s="4" t="s">
        <v>588</v>
      </c>
    </row>
    <row r="618" spans="1:2" x14ac:dyDescent="0.25">
      <c r="A618" s="4">
        <v>7258</v>
      </c>
      <c r="B618" s="4" t="s">
        <v>589</v>
      </c>
    </row>
    <row r="619" spans="1:2" x14ac:dyDescent="0.25">
      <c r="A619" s="4">
        <v>7259</v>
      </c>
      <c r="B619" s="4" t="s">
        <v>590</v>
      </c>
    </row>
    <row r="620" spans="1:2" x14ac:dyDescent="0.25">
      <c r="A620" s="4">
        <v>7260</v>
      </c>
      <c r="B620" s="4" t="s">
        <v>591</v>
      </c>
    </row>
    <row r="621" spans="1:2" x14ac:dyDescent="0.25">
      <c r="A621" s="4">
        <v>7261</v>
      </c>
      <c r="B621" s="4" t="s">
        <v>592</v>
      </c>
    </row>
    <row r="622" spans="1:2" x14ac:dyDescent="0.25">
      <c r="A622" s="4">
        <v>7262</v>
      </c>
      <c r="B622" s="4" t="s">
        <v>593</v>
      </c>
    </row>
    <row r="623" spans="1:2" x14ac:dyDescent="0.25">
      <c r="A623" s="4">
        <v>7263</v>
      </c>
      <c r="B623" s="4" t="s">
        <v>594</v>
      </c>
    </row>
    <row r="624" spans="1:2" x14ac:dyDescent="0.25">
      <c r="A624" s="4">
        <v>7264</v>
      </c>
      <c r="B624" s="4" t="s">
        <v>595</v>
      </c>
    </row>
    <row r="625" spans="1:2" x14ac:dyDescent="0.25">
      <c r="A625" s="4">
        <v>7265</v>
      </c>
      <c r="B625" s="4" t="s">
        <v>596</v>
      </c>
    </row>
    <row r="626" spans="1:2" x14ac:dyDescent="0.25">
      <c r="A626" s="4">
        <v>7266</v>
      </c>
      <c r="B626" s="4" t="s">
        <v>597</v>
      </c>
    </row>
    <row r="627" spans="1:2" x14ac:dyDescent="0.25">
      <c r="A627" s="4">
        <v>7267</v>
      </c>
      <c r="B627" s="4" t="s">
        <v>598</v>
      </c>
    </row>
    <row r="628" spans="1:2" x14ac:dyDescent="0.25">
      <c r="A628" s="4">
        <v>7268</v>
      </c>
      <c r="B628" s="4" t="s">
        <v>599</v>
      </c>
    </row>
    <row r="629" spans="1:2" x14ac:dyDescent="0.25">
      <c r="A629" s="4">
        <v>7269</v>
      </c>
      <c r="B629" s="4" t="s">
        <v>600</v>
      </c>
    </row>
    <row r="630" spans="1:2" x14ac:dyDescent="0.25">
      <c r="A630" s="4">
        <v>7270</v>
      </c>
      <c r="B630" s="4" t="s">
        <v>601</v>
      </c>
    </row>
    <row r="631" spans="1:2" x14ac:dyDescent="0.25">
      <c r="A631" s="4">
        <v>7271</v>
      </c>
      <c r="B631" s="4" t="s">
        <v>602</v>
      </c>
    </row>
    <row r="632" spans="1:2" x14ac:dyDescent="0.25">
      <c r="A632" s="4">
        <v>7272</v>
      </c>
      <c r="B632" s="4" t="s">
        <v>603</v>
      </c>
    </row>
    <row r="633" spans="1:2" x14ac:dyDescent="0.25">
      <c r="A633" s="4">
        <v>7273</v>
      </c>
      <c r="B633" s="4" t="s">
        <v>604</v>
      </c>
    </row>
    <row r="634" spans="1:2" x14ac:dyDescent="0.25">
      <c r="A634" s="4">
        <v>7274</v>
      </c>
      <c r="B634" s="4" t="s">
        <v>605</v>
      </c>
    </row>
    <row r="635" spans="1:2" x14ac:dyDescent="0.25">
      <c r="A635" s="4">
        <v>7275</v>
      </c>
      <c r="B635" s="4" t="s">
        <v>606</v>
      </c>
    </row>
    <row r="636" spans="1:2" x14ac:dyDescent="0.25">
      <c r="A636" s="4">
        <v>7276</v>
      </c>
      <c r="B636" s="4" t="s">
        <v>607</v>
      </c>
    </row>
    <row r="637" spans="1:2" x14ac:dyDescent="0.25">
      <c r="A637" s="4">
        <v>7277</v>
      </c>
      <c r="B637" s="4" t="s">
        <v>608</v>
      </c>
    </row>
    <row r="638" spans="1:2" x14ac:dyDescent="0.25">
      <c r="A638" s="4">
        <v>7278</v>
      </c>
      <c r="B638" s="4" t="s">
        <v>609</v>
      </c>
    </row>
    <row r="639" spans="1:2" x14ac:dyDescent="0.25">
      <c r="A639" s="4">
        <v>7279</v>
      </c>
      <c r="B639" s="4" t="s">
        <v>610</v>
      </c>
    </row>
    <row r="640" spans="1:2" x14ac:dyDescent="0.25">
      <c r="A640" s="4">
        <v>7280</v>
      </c>
      <c r="B640" s="4" t="s">
        <v>611</v>
      </c>
    </row>
    <row r="641" spans="1:2" x14ac:dyDescent="0.25">
      <c r="A641" s="4">
        <v>7281</v>
      </c>
      <c r="B641" s="4" t="s">
        <v>612</v>
      </c>
    </row>
    <row r="642" spans="1:2" x14ac:dyDescent="0.25">
      <c r="A642" s="4">
        <v>7282</v>
      </c>
      <c r="B642" s="4" t="s">
        <v>613</v>
      </c>
    </row>
    <row r="643" spans="1:2" x14ac:dyDescent="0.25">
      <c r="A643" s="4">
        <v>7283</v>
      </c>
      <c r="B643" s="4" t="s">
        <v>614</v>
      </c>
    </row>
    <row r="644" spans="1:2" x14ac:dyDescent="0.25">
      <c r="A644" s="4">
        <v>7284</v>
      </c>
      <c r="B644" s="4" t="s">
        <v>615</v>
      </c>
    </row>
    <row r="645" spans="1:2" x14ac:dyDescent="0.25">
      <c r="A645" s="4">
        <v>7285</v>
      </c>
      <c r="B645" s="4" t="s">
        <v>616</v>
      </c>
    </row>
    <row r="646" spans="1:2" x14ac:dyDescent="0.25">
      <c r="A646" s="4">
        <v>7286</v>
      </c>
      <c r="B646" s="4" t="s">
        <v>617</v>
      </c>
    </row>
    <row r="647" spans="1:2" x14ac:dyDescent="0.25">
      <c r="A647" s="4">
        <v>7287</v>
      </c>
      <c r="B647" s="4" t="s">
        <v>618</v>
      </c>
    </row>
    <row r="648" spans="1:2" x14ac:dyDescent="0.25">
      <c r="A648" s="4">
        <v>7288</v>
      </c>
      <c r="B648" s="4" t="s">
        <v>619</v>
      </c>
    </row>
    <row r="649" spans="1:2" x14ac:dyDescent="0.25">
      <c r="A649" s="4">
        <v>7289</v>
      </c>
      <c r="B649" s="4" t="s">
        <v>620</v>
      </c>
    </row>
    <row r="650" spans="1:2" x14ac:dyDescent="0.25">
      <c r="A650" s="4">
        <v>7301</v>
      </c>
      <c r="B650" s="4" t="s">
        <v>621</v>
      </c>
    </row>
    <row r="651" spans="1:2" x14ac:dyDescent="0.25">
      <c r="A651" s="4">
        <v>7302</v>
      </c>
      <c r="B651" s="4" t="s">
        <v>622</v>
      </c>
    </row>
    <row r="652" spans="1:2" x14ac:dyDescent="0.25">
      <c r="A652" s="4">
        <v>7303</v>
      </c>
      <c r="B652" s="4" t="s">
        <v>623</v>
      </c>
    </row>
    <row r="653" spans="1:2" x14ac:dyDescent="0.25">
      <c r="A653" s="4">
        <v>7304</v>
      </c>
      <c r="B653" s="4" t="s">
        <v>624</v>
      </c>
    </row>
    <row r="654" spans="1:2" x14ac:dyDescent="0.25">
      <c r="A654" s="4">
        <v>7305</v>
      </c>
      <c r="B654" s="4" t="s">
        <v>625</v>
      </c>
    </row>
    <row r="655" spans="1:2" x14ac:dyDescent="0.25">
      <c r="A655" s="4">
        <v>7306</v>
      </c>
      <c r="B655" s="4" t="s">
        <v>626</v>
      </c>
    </row>
    <row r="656" spans="1:2" x14ac:dyDescent="0.25">
      <c r="A656" s="4">
        <v>7307</v>
      </c>
      <c r="B656" s="4" t="s">
        <v>627</v>
      </c>
    </row>
    <row r="657" spans="1:2" x14ac:dyDescent="0.25">
      <c r="A657" s="4">
        <v>7308</v>
      </c>
      <c r="B657" s="4" t="s">
        <v>628</v>
      </c>
    </row>
    <row r="658" spans="1:2" x14ac:dyDescent="0.25">
      <c r="A658" s="4">
        <v>7309</v>
      </c>
      <c r="B658" s="4" t="s">
        <v>629</v>
      </c>
    </row>
    <row r="659" spans="1:2" x14ac:dyDescent="0.25">
      <c r="A659" s="4">
        <v>7310</v>
      </c>
      <c r="B659" s="4" t="s">
        <v>630</v>
      </c>
    </row>
    <row r="660" spans="1:2" x14ac:dyDescent="0.25">
      <c r="A660" s="4">
        <v>7311</v>
      </c>
      <c r="B660" s="4" t="s">
        <v>631</v>
      </c>
    </row>
    <row r="661" spans="1:2" x14ac:dyDescent="0.25">
      <c r="A661" s="4">
        <v>7312</v>
      </c>
      <c r="B661" s="4" t="s">
        <v>632</v>
      </c>
    </row>
    <row r="662" spans="1:2" x14ac:dyDescent="0.25">
      <c r="A662" s="4">
        <v>7313</v>
      </c>
      <c r="B662" s="4" t="s">
        <v>633</v>
      </c>
    </row>
    <row r="663" spans="1:2" x14ac:dyDescent="0.25">
      <c r="A663" s="4">
        <v>7314</v>
      </c>
      <c r="B663" s="4" t="s">
        <v>634</v>
      </c>
    </row>
    <row r="664" spans="1:2" x14ac:dyDescent="0.25">
      <c r="A664" s="4">
        <v>7315</v>
      </c>
      <c r="B664" s="4" t="s">
        <v>635</v>
      </c>
    </row>
    <row r="665" spans="1:2" x14ac:dyDescent="0.25">
      <c r="A665" s="4">
        <v>7316</v>
      </c>
      <c r="B665" s="4" t="s">
        <v>357</v>
      </c>
    </row>
    <row r="666" spans="1:2" x14ac:dyDescent="0.25">
      <c r="A666" s="4">
        <v>7317</v>
      </c>
      <c r="B666" s="4" t="s">
        <v>358</v>
      </c>
    </row>
    <row r="667" spans="1:2" x14ac:dyDescent="0.25">
      <c r="A667" s="4">
        <v>7318</v>
      </c>
      <c r="B667" s="4" t="s">
        <v>636</v>
      </c>
    </row>
    <row r="668" spans="1:2" x14ac:dyDescent="0.25">
      <c r="A668" s="4">
        <v>7319</v>
      </c>
      <c r="B668" s="4" t="s">
        <v>637</v>
      </c>
    </row>
    <row r="669" spans="1:2" x14ac:dyDescent="0.25">
      <c r="A669" s="4">
        <v>7320</v>
      </c>
      <c r="B669" s="4" t="s">
        <v>638</v>
      </c>
    </row>
    <row r="670" spans="1:2" x14ac:dyDescent="0.25">
      <c r="A670" s="4">
        <v>7321</v>
      </c>
      <c r="B670" s="4" t="s">
        <v>639</v>
      </c>
    </row>
    <row r="671" spans="1:2" x14ac:dyDescent="0.25">
      <c r="A671" s="4">
        <v>7322</v>
      </c>
      <c r="B671" s="4" t="s">
        <v>640</v>
      </c>
    </row>
    <row r="672" spans="1:2" x14ac:dyDescent="0.25">
      <c r="A672" s="4">
        <v>7323</v>
      </c>
      <c r="B672" s="4" t="s">
        <v>641</v>
      </c>
    </row>
    <row r="673" spans="1:2" x14ac:dyDescent="0.25">
      <c r="A673" s="4">
        <v>7324</v>
      </c>
      <c r="B673" s="4" t="s">
        <v>642</v>
      </c>
    </row>
    <row r="674" spans="1:2" x14ac:dyDescent="0.25">
      <c r="A674" s="4">
        <v>7325</v>
      </c>
      <c r="B674" s="4" t="s">
        <v>643</v>
      </c>
    </row>
    <row r="675" spans="1:2" x14ac:dyDescent="0.25">
      <c r="A675" s="4">
        <v>7326</v>
      </c>
      <c r="B675" s="4" t="s">
        <v>644</v>
      </c>
    </row>
    <row r="676" spans="1:2" x14ac:dyDescent="0.25">
      <c r="A676" s="4">
        <v>7327</v>
      </c>
      <c r="B676" s="4" t="s">
        <v>645</v>
      </c>
    </row>
    <row r="677" spans="1:2" x14ac:dyDescent="0.25">
      <c r="A677" s="4">
        <v>7328</v>
      </c>
      <c r="B677" s="4" t="s">
        <v>646</v>
      </c>
    </row>
    <row r="678" spans="1:2" x14ac:dyDescent="0.25">
      <c r="A678" s="4">
        <v>7329</v>
      </c>
      <c r="B678" s="4" t="s">
        <v>647</v>
      </c>
    </row>
    <row r="679" spans="1:2" x14ac:dyDescent="0.25">
      <c r="A679" s="4">
        <v>7330</v>
      </c>
      <c r="B679" s="4" t="s">
        <v>648</v>
      </c>
    </row>
    <row r="680" spans="1:2" x14ac:dyDescent="0.25">
      <c r="A680" s="4">
        <v>7331</v>
      </c>
      <c r="B680" s="4" t="s">
        <v>649</v>
      </c>
    </row>
    <row r="681" spans="1:2" x14ac:dyDescent="0.25">
      <c r="A681" s="4">
        <v>7332</v>
      </c>
      <c r="B681" s="4" t="s">
        <v>650</v>
      </c>
    </row>
    <row r="682" spans="1:2" x14ac:dyDescent="0.25">
      <c r="A682" s="4">
        <v>7333</v>
      </c>
      <c r="B682" s="4" t="s">
        <v>651</v>
      </c>
    </row>
    <row r="683" spans="1:2" x14ac:dyDescent="0.25">
      <c r="A683" s="4">
        <v>7334</v>
      </c>
      <c r="B683" s="4" t="s">
        <v>652</v>
      </c>
    </row>
    <row r="684" spans="1:2" x14ac:dyDescent="0.25">
      <c r="A684" s="4">
        <v>7335</v>
      </c>
      <c r="B684" s="4" t="s">
        <v>653</v>
      </c>
    </row>
    <row r="685" spans="1:2" x14ac:dyDescent="0.25">
      <c r="A685" s="4">
        <v>7336</v>
      </c>
      <c r="B685" s="4" t="s">
        <v>654</v>
      </c>
    </row>
    <row r="686" spans="1:2" x14ac:dyDescent="0.25">
      <c r="A686" s="4">
        <v>7337</v>
      </c>
      <c r="B686" s="4" t="s">
        <v>655</v>
      </c>
    </row>
    <row r="687" spans="1:2" x14ac:dyDescent="0.25">
      <c r="A687" s="4">
        <v>7338</v>
      </c>
      <c r="B687" s="4" t="s">
        <v>656</v>
      </c>
    </row>
    <row r="688" spans="1:2" x14ac:dyDescent="0.25">
      <c r="A688" s="4">
        <v>7339</v>
      </c>
      <c r="B688" s="4" t="s">
        <v>657</v>
      </c>
    </row>
    <row r="689" spans="1:2" x14ac:dyDescent="0.25">
      <c r="A689" s="4">
        <v>7340</v>
      </c>
      <c r="B689" s="4" t="s">
        <v>658</v>
      </c>
    </row>
    <row r="690" spans="1:2" x14ac:dyDescent="0.25">
      <c r="A690" s="4">
        <v>7341</v>
      </c>
      <c r="B690" s="4" t="s">
        <v>659</v>
      </c>
    </row>
    <row r="691" spans="1:2" x14ac:dyDescent="0.25">
      <c r="A691" s="4">
        <v>7342</v>
      </c>
      <c r="B691" s="4" t="s">
        <v>660</v>
      </c>
    </row>
    <row r="692" spans="1:2" x14ac:dyDescent="0.25">
      <c r="A692" s="4">
        <v>7343</v>
      </c>
      <c r="B692" s="4" t="s">
        <v>661</v>
      </c>
    </row>
    <row r="693" spans="1:2" x14ac:dyDescent="0.25">
      <c r="A693" s="4">
        <v>7344</v>
      </c>
      <c r="B693" s="4" t="s">
        <v>662</v>
      </c>
    </row>
    <row r="694" spans="1:2" x14ac:dyDescent="0.25">
      <c r="A694" s="4">
        <v>7345</v>
      </c>
      <c r="B694" s="4" t="s">
        <v>663</v>
      </c>
    </row>
    <row r="695" spans="1:2" x14ac:dyDescent="0.25">
      <c r="A695" s="4">
        <v>7346</v>
      </c>
      <c r="B695" s="4" t="s">
        <v>664</v>
      </c>
    </row>
    <row r="696" spans="1:2" x14ac:dyDescent="0.25">
      <c r="A696" s="4">
        <v>7347</v>
      </c>
      <c r="B696" s="4" t="s">
        <v>665</v>
      </c>
    </row>
    <row r="697" spans="1:2" x14ac:dyDescent="0.25">
      <c r="A697" s="4">
        <v>7348</v>
      </c>
      <c r="B697" s="4" t="s">
        <v>666</v>
      </c>
    </row>
    <row r="698" spans="1:2" x14ac:dyDescent="0.25">
      <c r="A698" s="4">
        <v>7349</v>
      </c>
      <c r="B698" s="4" t="s">
        <v>667</v>
      </c>
    </row>
    <row r="699" spans="1:2" x14ac:dyDescent="0.25">
      <c r="A699" s="4">
        <v>7350</v>
      </c>
      <c r="B699" s="4" t="s">
        <v>668</v>
      </c>
    </row>
    <row r="700" spans="1:2" x14ac:dyDescent="0.25">
      <c r="A700" s="4">
        <v>7351</v>
      </c>
      <c r="B700" s="4" t="s">
        <v>669</v>
      </c>
    </row>
    <row r="701" spans="1:2" x14ac:dyDescent="0.25">
      <c r="A701" s="4">
        <v>7352</v>
      </c>
      <c r="B701" s="4" t="s">
        <v>670</v>
      </c>
    </row>
    <row r="702" spans="1:2" x14ac:dyDescent="0.25">
      <c r="A702" s="4">
        <v>7353</v>
      </c>
      <c r="B702" s="4" t="s">
        <v>671</v>
      </c>
    </row>
    <row r="703" spans="1:2" x14ac:dyDescent="0.25">
      <c r="A703" s="4">
        <v>7354</v>
      </c>
      <c r="B703" s="4" t="s">
        <v>672</v>
      </c>
    </row>
    <row r="704" spans="1:2" x14ac:dyDescent="0.25">
      <c r="A704" s="4">
        <v>7355</v>
      </c>
      <c r="B704" s="4" t="s">
        <v>673</v>
      </c>
    </row>
    <row r="705" spans="1:2" x14ac:dyDescent="0.25">
      <c r="A705" s="4">
        <v>7356</v>
      </c>
      <c r="B705" s="4" t="s">
        <v>674</v>
      </c>
    </row>
    <row r="706" spans="1:2" x14ac:dyDescent="0.25">
      <c r="A706" s="4">
        <v>7357</v>
      </c>
      <c r="B706" s="4" t="s">
        <v>675</v>
      </c>
    </row>
    <row r="707" spans="1:2" x14ac:dyDescent="0.25">
      <c r="A707" s="4">
        <v>7358</v>
      </c>
      <c r="B707" s="4" t="s">
        <v>676</v>
      </c>
    </row>
    <row r="708" spans="1:2" x14ac:dyDescent="0.25">
      <c r="A708" s="4">
        <v>7359</v>
      </c>
      <c r="B708" s="4" t="s">
        <v>677</v>
      </c>
    </row>
    <row r="709" spans="1:2" x14ac:dyDescent="0.25">
      <c r="A709" s="4">
        <v>7360</v>
      </c>
      <c r="B709" s="4" t="s">
        <v>678</v>
      </c>
    </row>
    <row r="710" spans="1:2" x14ac:dyDescent="0.25">
      <c r="A710" s="4">
        <v>7361</v>
      </c>
      <c r="B710" s="4" t="s">
        <v>679</v>
      </c>
    </row>
    <row r="711" spans="1:2" x14ac:dyDescent="0.25">
      <c r="A711" s="4">
        <v>7362</v>
      </c>
      <c r="B711" s="4" t="s">
        <v>680</v>
      </c>
    </row>
    <row r="712" spans="1:2" x14ac:dyDescent="0.25">
      <c r="A712" s="4">
        <v>7363</v>
      </c>
      <c r="B712" s="4" t="s">
        <v>681</v>
      </c>
    </row>
    <row r="713" spans="1:2" x14ac:dyDescent="0.25">
      <c r="A713" s="4">
        <v>7364</v>
      </c>
      <c r="B713" s="4" t="s">
        <v>682</v>
      </c>
    </row>
    <row r="714" spans="1:2" x14ac:dyDescent="0.25">
      <c r="A714" s="4">
        <v>7365</v>
      </c>
      <c r="B714" s="4" t="s">
        <v>683</v>
      </c>
    </row>
    <row r="715" spans="1:2" x14ac:dyDescent="0.25">
      <c r="A715" s="4">
        <v>7366</v>
      </c>
      <c r="B715" s="4" t="s">
        <v>684</v>
      </c>
    </row>
    <row r="716" spans="1:2" x14ac:dyDescent="0.25">
      <c r="A716" s="4">
        <v>7367</v>
      </c>
      <c r="B716" s="4" t="s">
        <v>685</v>
      </c>
    </row>
    <row r="717" spans="1:2" x14ac:dyDescent="0.25">
      <c r="A717" s="4">
        <v>7368</v>
      </c>
      <c r="B717" s="4" t="s">
        <v>686</v>
      </c>
    </row>
    <row r="718" spans="1:2" x14ac:dyDescent="0.25">
      <c r="A718" s="4">
        <v>7369</v>
      </c>
      <c r="B718" s="4" t="s">
        <v>687</v>
      </c>
    </row>
    <row r="719" spans="1:2" x14ac:dyDescent="0.25">
      <c r="A719" s="4">
        <v>7370</v>
      </c>
      <c r="B719" s="4" t="s">
        <v>688</v>
      </c>
    </row>
    <row r="720" spans="1:2" x14ac:dyDescent="0.25">
      <c r="A720" s="4">
        <v>7371</v>
      </c>
      <c r="B720" s="4" t="s">
        <v>689</v>
      </c>
    </row>
    <row r="721" spans="1:2" x14ac:dyDescent="0.25">
      <c r="A721" s="4">
        <v>7372</v>
      </c>
      <c r="B721" s="4" t="s">
        <v>690</v>
      </c>
    </row>
    <row r="722" spans="1:2" x14ac:dyDescent="0.25">
      <c r="A722" s="4">
        <v>7373</v>
      </c>
      <c r="B722" s="4" t="s">
        <v>691</v>
      </c>
    </row>
    <row r="723" spans="1:2" x14ac:dyDescent="0.25">
      <c r="A723" s="4">
        <v>7374</v>
      </c>
      <c r="B723" s="4" t="s">
        <v>692</v>
      </c>
    </row>
    <row r="724" spans="1:2" x14ac:dyDescent="0.25">
      <c r="A724" s="4">
        <v>7375</v>
      </c>
      <c r="B724" s="4" t="s">
        <v>693</v>
      </c>
    </row>
    <row r="725" spans="1:2" x14ac:dyDescent="0.25">
      <c r="A725" s="4">
        <v>7376</v>
      </c>
      <c r="B725" s="4" t="s">
        <v>694</v>
      </c>
    </row>
    <row r="726" spans="1:2" x14ac:dyDescent="0.25">
      <c r="A726" s="4">
        <v>7377</v>
      </c>
      <c r="B726" s="4" t="s">
        <v>695</v>
      </c>
    </row>
    <row r="727" spans="1:2" x14ac:dyDescent="0.25">
      <c r="A727" s="4">
        <v>7378</v>
      </c>
      <c r="B727" s="4" t="s">
        <v>696</v>
      </c>
    </row>
    <row r="728" spans="1:2" x14ac:dyDescent="0.25">
      <c r="A728" s="4">
        <v>7379</v>
      </c>
      <c r="B728" s="4" t="s">
        <v>697</v>
      </c>
    </row>
    <row r="729" spans="1:2" x14ac:dyDescent="0.25">
      <c r="A729" s="4">
        <v>7380</v>
      </c>
      <c r="B729" s="4" t="s">
        <v>698</v>
      </c>
    </row>
    <row r="730" spans="1:2" x14ac:dyDescent="0.25">
      <c r="A730" s="4">
        <v>7381</v>
      </c>
      <c r="B730" s="4" t="s">
        <v>699</v>
      </c>
    </row>
    <row r="731" spans="1:2" x14ac:dyDescent="0.25">
      <c r="A731" s="4">
        <v>7382</v>
      </c>
      <c r="B731" s="4" t="s">
        <v>700</v>
      </c>
    </row>
    <row r="732" spans="1:2" x14ac:dyDescent="0.25">
      <c r="A732" s="4">
        <v>7383</v>
      </c>
      <c r="B732" s="4" t="s">
        <v>701</v>
      </c>
    </row>
    <row r="733" spans="1:2" x14ac:dyDescent="0.25">
      <c r="A733" s="4">
        <v>7384</v>
      </c>
      <c r="B733" s="4" t="s">
        <v>702</v>
      </c>
    </row>
    <row r="734" spans="1:2" x14ac:dyDescent="0.25">
      <c r="A734" s="4">
        <v>7385</v>
      </c>
      <c r="B734" s="4" t="s">
        <v>703</v>
      </c>
    </row>
    <row r="735" spans="1:2" x14ac:dyDescent="0.25">
      <c r="A735" s="4">
        <v>7386</v>
      </c>
      <c r="B735" s="4" t="s">
        <v>704</v>
      </c>
    </row>
    <row r="736" spans="1:2" x14ac:dyDescent="0.25">
      <c r="A736" s="4">
        <v>7387</v>
      </c>
      <c r="B736" s="4" t="s">
        <v>705</v>
      </c>
    </row>
    <row r="737" spans="1:2" x14ac:dyDescent="0.25">
      <c r="A737" s="4">
        <v>7388</v>
      </c>
      <c r="B737" s="4" t="s">
        <v>706</v>
      </c>
    </row>
    <row r="738" spans="1:2" x14ac:dyDescent="0.25">
      <c r="A738" s="4">
        <v>7389</v>
      </c>
      <c r="B738" s="4" t="s">
        <v>707</v>
      </c>
    </row>
    <row r="739" spans="1:2" x14ac:dyDescent="0.25">
      <c r="A739" s="4">
        <v>7401</v>
      </c>
      <c r="B739" s="4" t="s">
        <v>708</v>
      </c>
    </row>
    <row r="740" spans="1:2" x14ac:dyDescent="0.25">
      <c r="A740" s="4">
        <v>7402</v>
      </c>
      <c r="B740" s="4" t="s">
        <v>709</v>
      </c>
    </row>
    <row r="741" spans="1:2" x14ac:dyDescent="0.25">
      <c r="A741" s="4">
        <v>7403</v>
      </c>
      <c r="B741" s="4" t="s">
        <v>710</v>
      </c>
    </row>
    <row r="742" spans="1:2" x14ac:dyDescent="0.25">
      <c r="A742" s="4">
        <v>7404</v>
      </c>
      <c r="B742" s="4" t="s">
        <v>711</v>
      </c>
    </row>
    <row r="743" spans="1:2" x14ac:dyDescent="0.25">
      <c r="A743" s="4">
        <v>7405</v>
      </c>
      <c r="B743" s="4" t="s">
        <v>712</v>
      </c>
    </row>
    <row r="744" spans="1:2" x14ac:dyDescent="0.25">
      <c r="A744" s="4">
        <v>7406</v>
      </c>
      <c r="B744" s="4" t="s">
        <v>713</v>
      </c>
    </row>
    <row r="745" spans="1:2" x14ac:dyDescent="0.25">
      <c r="A745" s="4">
        <v>7407</v>
      </c>
      <c r="B745" s="4" t="s">
        <v>714</v>
      </c>
    </row>
    <row r="746" spans="1:2" x14ac:dyDescent="0.25">
      <c r="A746" s="4">
        <v>7408</v>
      </c>
      <c r="B746" s="4" t="s">
        <v>715</v>
      </c>
    </row>
    <row r="747" spans="1:2" x14ac:dyDescent="0.25">
      <c r="A747" s="4">
        <v>7409</v>
      </c>
      <c r="B747" s="4" t="s">
        <v>716</v>
      </c>
    </row>
    <row r="748" spans="1:2" x14ac:dyDescent="0.25">
      <c r="A748" s="4">
        <v>7410</v>
      </c>
      <c r="B748" s="4" t="s">
        <v>717</v>
      </c>
    </row>
    <row r="749" spans="1:2" x14ac:dyDescent="0.25">
      <c r="A749" s="4">
        <v>7411</v>
      </c>
      <c r="B749" s="4" t="s">
        <v>718</v>
      </c>
    </row>
    <row r="750" spans="1:2" x14ac:dyDescent="0.25">
      <c r="A750" s="4">
        <v>7412</v>
      </c>
      <c r="B750" s="4" t="s">
        <v>719</v>
      </c>
    </row>
    <row r="751" spans="1:2" x14ac:dyDescent="0.25">
      <c r="A751" s="4">
        <v>7413</v>
      </c>
      <c r="B751" s="4" t="s">
        <v>720</v>
      </c>
    </row>
    <row r="752" spans="1:2" x14ac:dyDescent="0.25">
      <c r="A752" s="4">
        <v>7414</v>
      </c>
      <c r="B752" s="4" t="s">
        <v>721</v>
      </c>
    </row>
    <row r="753" spans="1:2" x14ac:dyDescent="0.25">
      <c r="A753" s="4">
        <v>7415</v>
      </c>
      <c r="B753" s="4" t="s">
        <v>722</v>
      </c>
    </row>
    <row r="754" spans="1:2" x14ac:dyDescent="0.25">
      <c r="A754" s="4">
        <v>7416</v>
      </c>
      <c r="B754" s="4" t="s">
        <v>723</v>
      </c>
    </row>
    <row r="755" spans="1:2" x14ac:dyDescent="0.25">
      <c r="A755" s="4">
        <v>7417</v>
      </c>
      <c r="B755" s="4" t="s">
        <v>724</v>
      </c>
    </row>
    <row r="756" spans="1:2" x14ac:dyDescent="0.25">
      <c r="A756" s="4">
        <v>7418</v>
      </c>
      <c r="B756" s="4" t="s">
        <v>725</v>
      </c>
    </row>
    <row r="757" spans="1:2" x14ac:dyDescent="0.25">
      <c r="A757" s="4">
        <v>7419</v>
      </c>
      <c r="B757" s="4" t="s">
        <v>726</v>
      </c>
    </row>
    <row r="758" spans="1:2" x14ac:dyDescent="0.25">
      <c r="A758" s="4">
        <v>7420</v>
      </c>
      <c r="B758" s="4" t="s">
        <v>727</v>
      </c>
    </row>
    <row r="759" spans="1:2" x14ac:dyDescent="0.25">
      <c r="A759" s="4">
        <v>7421</v>
      </c>
      <c r="B759" s="4" t="s">
        <v>728</v>
      </c>
    </row>
    <row r="760" spans="1:2" x14ac:dyDescent="0.25">
      <c r="A760" s="4">
        <v>7422</v>
      </c>
      <c r="B760" s="4" t="s">
        <v>729</v>
      </c>
    </row>
    <row r="761" spans="1:2" x14ac:dyDescent="0.25">
      <c r="A761" s="4">
        <v>7423</v>
      </c>
      <c r="B761" s="4" t="s">
        <v>730</v>
      </c>
    </row>
    <row r="762" spans="1:2" x14ac:dyDescent="0.25">
      <c r="A762" s="4">
        <v>7424</v>
      </c>
      <c r="B762" s="4" t="s">
        <v>731</v>
      </c>
    </row>
    <row r="763" spans="1:2" x14ac:dyDescent="0.25">
      <c r="A763" s="4">
        <v>7425</v>
      </c>
      <c r="B763" s="4" t="s">
        <v>732</v>
      </c>
    </row>
    <row r="764" spans="1:2" x14ac:dyDescent="0.25">
      <c r="A764" s="4">
        <v>7426</v>
      </c>
      <c r="B764" s="4" t="s">
        <v>733</v>
      </c>
    </row>
    <row r="765" spans="1:2" x14ac:dyDescent="0.25">
      <c r="A765" s="4">
        <v>7427</v>
      </c>
      <c r="B765" s="4" t="s">
        <v>734</v>
      </c>
    </row>
    <row r="766" spans="1:2" x14ac:dyDescent="0.25">
      <c r="A766" s="4">
        <v>7428</v>
      </c>
      <c r="B766" s="4" t="s">
        <v>735</v>
      </c>
    </row>
    <row r="767" spans="1:2" x14ac:dyDescent="0.25">
      <c r="A767" s="4">
        <v>7429</v>
      </c>
      <c r="B767" s="4" t="s">
        <v>736</v>
      </c>
    </row>
    <row r="768" spans="1:2" x14ac:dyDescent="0.25">
      <c r="A768" s="4">
        <v>7430</v>
      </c>
      <c r="B768" s="4" t="s">
        <v>737</v>
      </c>
    </row>
    <row r="769" spans="1:2" x14ac:dyDescent="0.25">
      <c r="A769" s="4">
        <v>7431</v>
      </c>
      <c r="B769" s="4" t="s">
        <v>738</v>
      </c>
    </row>
    <row r="770" spans="1:2" x14ac:dyDescent="0.25">
      <c r="A770" s="4">
        <v>7432</v>
      </c>
      <c r="B770" s="4" t="s">
        <v>739</v>
      </c>
    </row>
    <row r="771" spans="1:2" x14ac:dyDescent="0.25">
      <c r="A771" s="4">
        <v>7433</v>
      </c>
      <c r="B771" s="4" t="s">
        <v>740</v>
      </c>
    </row>
    <row r="772" spans="1:2" x14ac:dyDescent="0.25">
      <c r="A772" s="4">
        <v>7434</v>
      </c>
      <c r="B772" s="4" t="s">
        <v>741</v>
      </c>
    </row>
    <row r="773" spans="1:2" x14ac:dyDescent="0.25">
      <c r="A773" s="4">
        <v>7435</v>
      </c>
      <c r="B773" s="4" t="s">
        <v>742</v>
      </c>
    </row>
    <row r="774" spans="1:2" x14ac:dyDescent="0.25">
      <c r="A774" s="4">
        <v>7436</v>
      </c>
      <c r="B774" s="4" t="s">
        <v>743</v>
      </c>
    </row>
    <row r="775" spans="1:2" x14ac:dyDescent="0.25">
      <c r="A775" s="4">
        <v>7437</v>
      </c>
      <c r="B775" s="4" t="s">
        <v>744</v>
      </c>
    </row>
    <row r="776" spans="1:2" x14ac:dyDescent="0.25">
      <c r="A776" s="4">
        <v>7438</v>
      </c>
      <c r="B776" s="4" t="s">
        <v>745</v>
      </c>
    </row>
    <row r="777" spans="1:2" x14ac:dyDescent="0.25">
      <c r="A777" s="4">
        <v>7439</v>
      </c>
      <c r="B777" s="4" t="s">
        <v>746</v>
      </c>
    </row>
    <row r="778" spans="1:2" x14ac:dyDescent="0.25">
      <c r="A778" s="4">
        <v>7440</v>
      </c>
      <c r="B778" s="4" t="s">
        <v>747</v>
      </c>
    </row>
    <row r="779" spans="1:2" x14ac:dyDescent="0.25">
      <c r="A779" s="4">
        <v>7441</v>
      </c>
      <c r="B779" s="4" t="s">
        <v>748</v>
      </c>
    </row>
    <row r="780" spans="1:2" x14ac:dyDescent="0.25">
      <c r="A780" s="4">
        <v>7442</v>
      </c>
      <c r="B780" s="4" t="s">
        <v>749</v>
      </c>
    </row>
    <row r="781" spans="1:2" x14ac:dyDescent="0.25">
      <c r="A781" s="4">
        <v>7443</v>
      </c>
      <c r="B781" s="4" t="s">
        <v>750</v>
      </c>
    </row>
    <row r="782" spans="1:2" x14ac:dyDescent="0.25">
      <c r="A782" s="4">
        <v>7444</v>
      </c>
      <c r="B782" s="4" t="s">
        <v>751</v>
      </c>
    </row>
    <row r="783" spans="1:2" x14ac:dyDescent="0.25">
      <c r="A783" s="4">
        <v>7445</v>
      </c>
      <c r="B783" s="4" t="s">
        <v>752</v>
      </c>
    </row>
    <row r="784" spans="1:2" x14ac:dyDescent="0.25">
      <c r="A784" s="4">
        <v>7446</v>
      </c>
      <c r="B784" s="4" t="s">
        <v>753</v>
      </c>
    </row>
    <row r="785" spans="1:2" x14ac:dyDescent="0.25">
      <c r="A785" s="4">
        <v>7447</v>
      </c>
      <c r="B785" s="4" t="s">
        <v>754</v>
      </c>
    </row>
    <row r="786" spans="1:2" x14ac:dyDescent="0.25">
      <c r="A786" s="4">
        <v>7448</v>
      </c>
      <c r="B786" s="4" t="s">
        <v>755</v>
      </c>
    </row>
    <row r="787" spans="1:2" x14ac:dyDescent="0.25">
      <c r="A787" s="4">
        <v>7449</v>
      </c>
      <c r="B787" s="4" t="s">
        <v>756</v>
      </c>
    </row>
    <row r="788" spans="1:2" x14ac:dyDescent="0.25">
      <c r="A788" s="4">
        <v>7450</v>
      </c>
      <c r="B788" s="4" t="s">
        <v>757</v>
      </c>
    </row>
    <row r="789" spans="1:2" x14ac:dyDescent="0.25">
      <c r="A789" s="4">
        <v>7451</v>
      </c>
      <c r="B789" s="4" t="s">
        <v>758</v>
      </c>
    </row>
    <row r="790" spans="1:2" x14ac:dyDescent="0.25">
      <c r="A790" s="4">
        <v>7452</v>
      </c>
      <c r="B790" s="4" t="s">
        <v>759</v>
      </c>
    </row>
    <row r="791" spans="1:2" x14ac:dyDescent="0.25">
      <c r="A791" s="4">
        <v>7453</v>
      </c>
      <c r="B791" s="4" t="s">
        <v>760</v>
      </c>
    </row>
    <row r="792" spans="1:2" x14ac:dyDescent="0.25">
      <c r="A792" s="4">
        <v>7454</v>
      </c>
      <c r="B792" s="4" t="s">
        <v>761</v>
      </c>
    </row>
    <row r="793" spans="1:2" x14ac:dyDescent="0.25">
      <c r="A793" s="4">
        <v>7455</v>
      </c>
      <c r="B793" s="4" t="s">
        <v>762</v>
      </c>
    </row>
    <row r="794" spans="1:2" x14ac:dyDescent="0.25">
      <c r="A794" s="4">
        <v>7456</v>
      </c>
      <c r="B794" s="4" t="s">
        <v>763</v>
      </c>
    </row>
    <row r="795" spans="1:2" x14ac:dyDescent="0.25">
      <c r="A795" s="4">
        <v>7457</v>
      </c>
      <c r="B795" s="4" t="s">
        <v>764</v>
      </c>
    </row>
    <row r="796" spans="1:2" x14ac:dyDescent="0.25">
      <c r="A796" s="4">
        <v>7458</v>
      </c>
      <c r="B796" s="4" t="s">
        <v>765</v>
      </c>
    </row>
    <row r="797" spans="1:2" x14ac:dyDescent="0.25">
      <c r="A797" s="4">
        <v>7459</v>
      </c>
      <c r="B797" s="4" t="s">
        <v>766</v>
      </c>
    </row>
    <row r="798" spans="1:2" x14ac:dyDescent="0.25">
      <c r="A798" s="4">
        <v>7460</v>
      </c>
      <c r="B798" s="4" t="s">
        <v>767</v>
      </c>
    </row>
    <row r="799" spans="1:2" x14ac:dyDescent="0.25">
      <c r="A799" s="4">
        <v>7461</v>
      </c>
      <c r="B799" s="4" t="s">
        <v>768</v>
      </c>
    </row>
    <row r="800" spans="1:2" x14ac:dyDescent="0.25">
      <c r="A800" s="4">
        <v>7462</v>
      </c>
      <c r="B800" s="4" t="s">
        <v>769</v>
      </c>
    </row>
    <row r="801" spans="1:2" x14ac:dyDescent="0.25">
      <c r="A801" s="4">
        <v>7463</v>
      </c>
      <c r="B801" s="4" t="s">
        <v>770</v>
      </c>
    </row>
    <row r="802" spans="1:2" x14ac:dyDescent="0.25">
      <c r="A802" s="4">
        <v>7464</v>
      </c>
      <c r="B802" s="4" t="s">
        <v>771</v>
      </c>
    </row>
    <row r="803" spans="1:2" x14ac:dyDescent="0.25">
      <c r="A803" s="4">
        <v>7465</v>
      </c>
      <c r="B803" s="4" t="s">
        <v>772</v>
      </c>
    </row>
    <row r="804" spans="1:2" x14ac:dyDescent="0.25">
      <c r="A804" s="4">
        <v>7466</v>
      </c>
      <c r="B804" s="4" t="s">
        <v>773</v>
      </c>
    </row>
    <row r="805" spans="1:2" x14ac:dyDescent="0.25">
      <c r="A805" s="4">
        <v>7467</v>
      </c>
      <c r="B805" s="4" t="s">
        <v>774</v>
      </c>
    </row>
    <row r="806" spans="1:2" x14ac:dyDescent="0.25">
      <c r="A806" s="4">
        <v>7468</v>
      </c>
      <c r="B806" s="4" t="s">
        <v>775</v>
      </c>
    </row>
    <row r="807" spans="1:2" x14ac:dyDescent="0.25">
      <c r="A807" s="4">
        <v>7469</v>
      </c>
      <c r="B807" s="4" t="s">
        <v>776</v>
      </c>
    </row>
    <row r="808" spans="1:2" x14ac:dyDescent="0.25">
      <c r="A808" s="4">
        <v>7470</v>
      </c>
      <c r="B808" s="4" t="s">
        <v>777</v>
      </c>
    </row>
    <row r="809" spans="1:2" x14ac:dyDescent="0.25">
      <c r="A809" s="4">
        <v>7471</v>
      </c>
      <c r="B809" s="4" t="s">
        <v>778</v>
      </c>
    </row>
    <row r="810" spans="1:2" x14ac:dyDescent="0.25">
      <c r="A810" s="4">
        <v>7472</v>
      </c>
      <c r="B810" s="4" t="s">
        <v>779</v>
      </c>
    </row>
    <row r="811" spans="1:2" x14ac:dyDescent="0.25">
      <c r="A811" s="4">
        <v>7473</v>
      </c>
      <c r="B811" s="4" t="s">
        <v>780</v>
      </c>
    </row>
    <row r="812" spans="1:2" x14ac:dyDescent="0.25">
      <c r="A812" s="4">
        <v>7474</v>
      </c>
      <c r="B812" s="4" t="s">
        <v>781</v>
      </c>
    </row>
    <row r="813" spans="1:2" x14ac:dyDescent="0.25">
      <c r="A813" s="4">
        <v>7475</v>
      </c>
      <c r="B813" s="4" t="s">
        <v>782</v>
      </c>
    </row>
    <row r="814" spans="1:2" x14ac:dyDescent="0.25">
      <c r="A814" s="4">
        <v>7476</v>
      </c>
      <c r="B814" s="4" t="s">
        <v>783</v>
      </c>
    </row>
    <row r="815" spans="1:2" x14ac:dyDescent="0.25">
      <c r="A815" s="4">
        <v>7477</v>
      </c>
      <c r="B815" s="4" t="s">
        <v>784</v>
      </c>
    </row>
    <row r="816" spans="1:2" x14ac:dyDescent="0.25">
      <c r="A816" s="4">
        <v>7478</v>
      </c>
      <c r="B816" s="4" t="s">
        <v>785</v>
      </c>
    </row>
    <row r="817" spans="1:2" x14ac:dyDescent="0.25">
      <c r="A817" s="4">
        <v>7479</v>
      </c>
      <c r="B817" s="4" t="s">
        <v>786</v>
      </c>
    </row>
    <row r="818" spans="1:2" x14ac:dyDescent="0.25">
      <c r="A818" s="4">
        <v>7480</v>
      </c>
      <c r="B818" s="4" t="s">
        <v>787</v>
      </c>
    </row>
    <row r="819" spans="1:2" x14ac:dyDescent="0.25">
      <c r="A819" s="4">
        <v>7481</v>
      </c>
      <c r="B819" s="4" t="s">
        <v>788</v>
      </c>
    </row>
    <row r="820" spans="1:2" x14ac:dyDescent="0.25">
      <c r="A820" s="4">
        <v>7482</v>
      </c>
      <c r="B820" s="4" t="s">
        <v>789</v>
      </c>
    </row>
    <row r="821" spans="1:2" x14ac:dyDescent="0.25">
      <c r="A821" s="4">
        <v>7483</v>
      </c>
      <c r="B821" s="4" t="s">
        <v>790</v>
      </c>
    </row>
    <row r="822" spans="1:2" x14ac:dyDescent="0.25">
      <c r="A822" s="4">
        <v>7484</v>
      </c>
      <c r="B822" s="4" t="s">
        <v>791</v>
      </c>
    </row>
    <row r="823" spans="1:2" x14ac:dyDescent="0.25">
      <c r="A823" s="4">
        <v>7485</v>
      </c>
      <c r="B823" s="4" t="s">
        <v>792</v>
      </c>
    </row>
    <row r="824" spans="1:2" x14ac:dyDescent="0.25">
      <c r="A824" s="4">
        <v>7486</v>
      </c>
      <c r="B824" s="4" t="s">
        <v>793</v>
      </c>
    </row>
    <row r="825" spans="1:2" x14ac:dyDescent="0.25">
      <c r="A825" s="4">
        <v>7487</v>
      </c>
      <c r="B825" s="4" t="s">
        <v>794</v>
      </c>
    </row>
    <row r="826" spans="1:2" x14ac:dyDescent="0.25">
      <c r="A826" s="4">
        <v>7488</v>
      </c>
      <c r="B826" s="4" t="s">
        <v>795</v>
      </c>
    </row>
    <row r="827" spans="1:2" x14ac:dyDescent="0.25">
      <c r="A827" s="4">
        <v>7489</v>
      </c>
      <c r="B827" s="4" t="s">
        <v>796</v>
      </c>
    </row>
    <row r="828" spans="1:2" x14ac:dyDescent="0.25">
      <c r="A828" s="4">
        <v>7501</v>
      </c>
      <c r="B828" s="4" t="s">
        <v>797</v>
      </c>
    </row>
    <row r="829" spans="1:2" x14ac:dyDescent="0.25">
      <c r="A829" s="4">
        <v>7502</v>
      </c>
      <c r="B829" s="4" t="s">
        <v>798</v>
      </c>
    </row>
    <row r="830" spans="1:2" x14ac:dyDescent="0.25">
      <c r="A830" s="4">
        <v>7503</v>
      </c>
      <c r="B830" s="4" t="s">
        <v>799</v>
      </c>
    </row>
    <row r="831" spans="1:2" x14ac:dyDescent="0.25">
      <c r="A831" s="4">
        <v>7504</v>
      </c>
      <c r="B831" s="4" t="s">
        <v>800</v>
      </c>
    </row>
    <row r="832" spans="1:2" x14ac:dyDescent="0.25">
      <c r="A832" s="4">
        <v>7505</v>
      </c>
      <c r="B832" s="4" t="s">
        <v>801</v>
      </c>
    </row>
    <row r="833" spans="1:2" x14ac:dyDescent="0.25">
      <c r="A833" s="4">
        <v>7506</v>
      </c>
      <c r="B833" s="4" t="s">
        <v>802</v>
      </c>
    </row>
    <row r="834" spans="1:2" x14ac:dyDescent="0.25">
      <c r="A834" s="4">
        <v>7507</v>
      </c>
      <c r="B834" s="4" t="s">
        <v>803</v>
      </c>
    </row>
    <row r="835" spans="1:2" x14ac:dyDescent="0.25">
      <c r="A835" s="4">
        <v>7508</v>
      </c>
      <c r="B835" s="4" t="s">
        <v>804</v>
      </c>
    </row>
    <row r="836" spans="1:2" x14ac:dyDescent="0.25">
      <c r="A836" s="4">
        <v>7509</v>
      </c>
      <c r="B836" s="4" t="s">
        <v>805</v>
      </c>
    </row>
    <row r="837" spans="1:2" x14ac:dyDescent="0.25">
      <c r="A837" s="4">
        <v>7510</v>
      </c>
      <c r="B837" s="4" t="s">
        <v>806</v>
      </c>
    </row>
    <row r="838" spans="1:2" x14ac:dyDescent="0.25">
      <c r="A838" s="4">
        <v>7511</v>
      </c>
      <c r="B838" s="4" t="s">
        <v>807</v>
      </c>
    </row>
    <row r="839" spans="1:2" x14ac:dyDescent="0.25">
      <c r="A839" s="4">
        <v>7512</v>
      </c>
      <c r="B839" s="4" t="s">
        <v>808</v>
      </c>
    </row>
    <row r="840" spans="1:2" x14ac:dyDescent="0.25">
      <c r="A840" s="4">
        <v>7513</v>
      </c>
      <c r="B840" s="4" t="s">
        <v>809</v>
      </c>
    </row>
    <row r="841" spans="1:2" x14ac:dyDescent="0.25">
      <c r="A841" s="4">
        <v>7514</v>
      </c>
      <c r="B841" s="4" t="s">
        <v>810</v>
      </c>
    </row>
    <row r="842" spans="1:2" x14ac:dyDescent="0.25">
      <c r="A842" s="4">
        <v>7515</v>
      </c>
      <c r="B842" s="4" t="s">
        <v>811</v>
      </c>
    </row>
    <row r="843" spans="1:2" x14ac:dyDescent="0.25">
      <c r="A843" s="4">
        <v>7516</v>
      </c>
      <c r="B843" s="4" t="s">
        <v>812</v>
      </c>
    </row>
    <row r="844" spans="1:2" x14ac:dyDescent="0.25">
      <c r="A844" s="4">
        <v>7517</v>
      </c>
      <c r="B844" s="4" t="s">
        <v>813</v>
      </c>
    </row>
    <row r="845" spans="1:2" x14ac:dyDescent="0.25">
      <c r="A845" s="4">
        <v>7518</v>
      </c>
      <c r="B845" s="4" t="s">
        <v>814</v>
      </c>
    </row>
    <row r="846" spans="1:2" x14ac:dyDescent="0.25">
      <c r="A846" s="4">
        <v>7519</v>
      </c>
      <c r="B846" s="4" t="s">
        <v>815</v>
      </c>
    </row>
    <row r="847" spans="1:2" x14ac:dyDescent="0.25">
      <c r="A847" s="4">
        <v>7520</v>
      </c>
      <c r="B847" s="4" t="s">
        <v>816</v>
      </c>
    </row>
    <row r="848" spans="1:2" x14ac:dyDescent="0.25">
      <c r="A848" s="4">
        <v>7521</v>
      </c>
      <c r="B848" s="4" t="s">
        <v>817</v>
      </c>
    </row>
    <row r="849" spans="1:2" x14ac:dyDescent="0.25">
      <c r="A849" s="4">
        <v>7522</v>
      </c>
      <c r="B849" s="4" t="s">
        <v>818</v>
      </c>
    </row>
    <row r="850" spans="1:2" x14ac:dyDescent="0.25">
      <c r="A850" s="4">
        <v>7523</v>
      </c>
      <c r="B850" s="4" t="s">
        <v>819</v>
      </c>
    </row>
    <row r="851" spans="1:2" x14ac:dyDescent="0.25">
      <c r="A851" s="4">
        <v>7524</v>
      </c>
      <c r="B851" s="4" t="s">
        <v>820</v>
      </c>
    </row>
    <row r="852" spans="1:2" x14ac:dyDescent="0.25">
      <c r="A852" s="4">
        <v>7525</v>
      </c>
      <c r="B852" s="4" t="s">
        <v>821</v>
      </c>
    </row>
    <row r="853" spans="1:2" x14ac:dyDescent="0.25">
      <c r="A853" s="4">
        <v>7526</v>
      </c>
      <c r="B853" s="4" t="s">
        <v>822</v>
      </c>
    </row>
    <row r="854" spans="1:2" x14ac:dyDescent="0.25">
      <c r="A854" s="4">
        <v>7527</v>
      </c>
      <c r="B854" s="4" t="s">
        <v>823</v>
      </c>
    </row>
    <row r="855" spans="1:2" x14ac:dyDescent="0.25">
      <c r="A855" s="4">
        <v>7528</v>
      </c>
      <c r="B855" s="4" t="s">
        <v>824</v>
      </c>
    </row>
    <row r="856" spans="1:2" x14ac:dyDescent="0.25">
      <c r="A856" s="4">
        <v>7529</v>
      </c>
      <c r="B856" s="4" t="s">
        <v>825</v>
      </c>
    </row>
    <row r="857" spans="1:2" x14ac:dyDescent="0.25">
      <c r="A857" s="4">
        <v>7530</v>
      </c>
      <c r="B857" s="4" t="s">
        <v>826</v>
      </c>
    </row>
    <row r="858" spans="1:2" x14ac:dyDescent="0.25">
      <c r="A858" s="4">
        <v>7531</v>
      </c>
      <c r="B858" s="4" t="s">
        <v>827</v>
      </c>
    </row>
    <row r="859" spans="1:2" x14ac:dyDescent="0.25">
      <c r="A859" s="4">
        <v>7532</v>
      </c>
      <c r="B859" s="4" t="s">
        <v>828</v>
      </c>
    </row>
    <row r="860" spans="1:2" x14ac:dyDescent="0.25">
      <c r="A860" s="4">
        <v>7533</v>
      </c>
      <c r="B860" s="4" t="s">
        <v>829</v>
      </c>
    </row>
    <row r="861" spans="1:2" x14ac:dyDescent="0.25">
      <c r="A861" s="4">
        <v>7534</v>
      </c>
      <c r="B861" s="4" t="s">
        <v>830</v>
      </c>
    </row>
    <row r="862" spans="1:2" x14ac:dyDescent="0.25">
      <c r="A862" s="4">
        <v>7535</v>
      </c>
      <c r="B862" s="4" t="s">
        <v>831</v>
      </c>
    </row>
    <row r="863" spans="1:2" x14ac:dyDescent="0.25">
      <c r="A863" s="4">
        <v>7536</v>
      </c>
      <c r="B863" s="4" t="s">
        <v>832</v>
      </c>
    </row>
    <row r="864" spans="1:2" x14ac:dyDescent="0.25">
      <c r="A864" s="4">
        <v>7537</v>
      </c>
      <c r="B864" s="4" t="s">
        <v>833</v>
      </c>
    </row>
    <row r="865" spans="1:2" x14ac:dyDescent="0.25">
      <c r="A865" s="4">
        <v>7538</v>
      </c>
      <c r="B865" s="4" t="s">
        <v>834</v>
      </c>
    </row>
    <row r="866" spans="1:2" x14ac:dyDescent="0.25">
      <c r="A866" s="4">
        <v>7539</v>
      </c>
      <c r="B866" s="4" t="s">
        <v>835</v>
      </c>
    </row>
    <row r="867" spans="1:2" x14ac:dyDescent="0.25">
      <c r="A867" s="4">
        <v>7540</v>
      </c>
      <c r="B867" s="4" t="s">
        <v>836</v>
      </c>
    </row>
    <row r="868" spans="1:2" x14ac:dyDescent="0.25">
      <c r="A868" s="4">
        <v>7542</v>
      </c>
      <c r="B868" s="4" t="s">
        <v>837</v>
      </c>
    </row>
    <row r="869" spans="1:2" x14ac:dyDescent="0.25">
      <c r="A869" s="4">
        <v>7543</v>
      </c>
      <c r="B869" s="4" t="s">
        <v>838</v>
      </c>
    </row>
    <row r="870" spans="1:2" x14ac:dyDescent="0.25">
      <c r="A870" s="4">
        <v>7544</v>
      </c>
      <c r="B870" s="4" t="s">
        <v>839</v>
      </c>
    </row>
    <row r="871" spans="1:2" x14ac:dyDescent="0.25">
      <c r="A871" s="4">
        <v>7552</v>
      </c>
      <c r="B871" s="4" t="s">
        <v>840</v>
      </c>
    </row>
    <row r="872" spans="1:2" x14ac:dyDescent="0.25">
      <c r="A872" s="4">
        <v>7554</v>
      </c>
      <c r="B872" s="4" t="s">
        <v>841</v>
      </c>
    </row>
    <row r="873" spans="1:2" x14ac:dyDescent="0.25">
      <c r="A873" s="4">
        <v>7564</v>
      </c>
      <c r="B873" s="4" t="s">
        <v>842</v>
      </c>
    </row>
    <row r="874" spans="1:2" x14ac:dyDescent="0.25">
      <c r="A874" s="4">
        <v>7566</v>
      </c>
      <c r="B874" s="4" t="s">
        <v>843</v>
      </c>
    </row>
    <row r="875" spans="1:2" x14ac:dyDescent="0.25">
      <c r="A875" s="4">
        <v>7588</v>
      </c>
      <c r="B875" s="4" t="s">
        <v>844</v>
      </c>
    </row>
    <row r="876" spans="1:2" x14ac:dyDescent="0.25">
      <c r="A876" s="4">
        <v>7624</v>
      </c>
      <c r="B876" s="4" t="s">
        <v>845</v>
      </c>
    </row>
    <row r="877" spans="1:2" x14ac:dyDescent="0.25">
      <c r="A877" s="4">
        <v>7625</v>
      </c>
      <c r="B877" s="4" t="s">
        <v>846</v>
      </c>
    </row>
    <row r="878" spans="1:2" x14ac:dyDescent="0.25">
      <c r="A878" s="4">
        <v>7626</v>
      </c>
      <c r="B878" s="4" t="s">
        <v>847</v>
      </c>
    </row>
    <row r="879" spans="1:2" x14ac:dyDescent="0.25">
      <c r="A879" s="4">
        <v>7627</v>
      </c>
      <c r="B879" s="4" t="s">
        <v>848</v>
      </c>
    </row>
    <row r="880" spans="1:2" x14ac:dyDescent="0.25">
      <c r="A880" s="4">
        <v>7796</v>
      </c>
      <c r="B880" s="4" t="s">
        <v>228</v>
      </c>
    </row>
    <row r="881" spans="1:2" x14ac:dyDescent="0.25">
      <c r="A881" s="4">
        <v>7797</v>
      </c>
      <c r="B881" s="4" t="s">
        <v>290</v>
      </c>
    </row>
    <row r="882" spans="1:2" x14ac:dyDescent="0.25">
      <c r="A882" s="4">
        <v>7798</v>
      </c>
      <c r="B882" s="4" t="s">
        <v>350</v>
      </c>
    </row>
    <row r="883" spans="1:2" x14ac:dyDescent="0.25">
      <c r="A883" s="4">
        <v>7799</v>
      </c>
      <c r="B883" s="4" t="s">
        <v>849</v>
      </c>
    </row>
    <row r="884" spans="1:2" x14ac:dyDescent="0.25">
      <c r="A884" s="4">
        <v>8501</v>
      </c>
      <c r="B884" s="4" t="s">
        <v>850</v>
      </c>
    </row>
    <row r="885" spans="1:2" x14ac:dyDescent="0.25">
      <c r="A885" s="4">
        <v>8502</v>
      </c>
      <c r="B885" s="4" t="s">
        <v>851</v>
      </c>
    </row>
    <row r="886" spans="1:2" x14ac:dyDescent="0.25">
      <c r="A886" s="4">
        <v>8503</v>
      </c>
      <c r="B886" s="4" t="s">
        <v>852</v>
      </c>
    </row>
    <row r="887" spans="1:2" x14ac:dyDescent="0.25">
      <c r="A887" s="4">
        <v>8504</v>
      </c>
      <c r="B887" s="4" t="s">
        <v>853</v>
      </c>
    </row>
    <row r="888" spans="1:2" x14ac:dyDescent="0.25">
      <c r="A888" s="4">
        <v>8505</v>
      </c>
      <c r="B888" s="4" t="s">
        <v>854</v>
      </c>
    </row>
    <row r="889" spans="1:2" x14ac:dyDescent="0.25">
      <c r="A889" s="4">
        <v>8506</v>
      </c>
      <c r="B889" s="4" t="s">
        <v>855</v>
      </c>
    </row>
    <row r="890" spans="1:2" x14ac:dyDescent="0.25">
      <c r="A890" s="4">
        <v>8507</v>
      </c>
      <c r="B890" s="4" t="s">
        <v>856</v>
      </c>
    </row>
    <row r="891" spans="1:2" x14ac:dyDescent="0.25">
      <c r="A891" s="4">
        <v>8508</v>
      </c>
      <c r="B891" s="4" t="s">
        <v>857</v>
      </c>
    </row>
    <row r="892" spans="1:2" x14ac:dyDescent="0.25">
      <c r="A892" s="4">
        <v>8509</v>
      </c>
      <c r="B892" s="4" t="s">
        <v>858</v>
      </c>
    </row>
    <row r="893" spans="1:2" x14ac:dyDescent="0.25">
      <c r="A893" s="4">
        <v>8510</v>
      </c>
      <c r="B893" s="4" t="s">
        <v>859</v>
      </c>
    </row>
    <row r="894" spans="1:2" x14ac:dyDescent="0.25">
      <c r="A894" s="4">
        <v>8511</v>
      </c>
      <c r="B894" s="4" t="s">
        <v>852</v>
      </c>
    </row>
    <row r="895" spans="1:2" x14ac:dyDescent="0.25">
      <c r="A895" s="4">
        <v>8512</v>
      </c>
      <c r="B895" s="4" t="s">
        <v>860</v>
      </c>
    </row>
    <row r="896" spans="1:2" x14ac:dyDescent="0.25">
      <c r="A896" s="4">
        <v>8513</v>
      </c>
      <c r="B896" s="4" t="s">
        <v>861</v>
      </c>
    </row>
    <row r="897" spans="1:2" x14ac:dyDescent="0.25">
      <c r="A897" s="4">
        <v>8514</v>
      </c>
      <c r="B897" s="4" t="s">
        <v>862</v>
      </c>
    </row>
    <row r="898" spans="1:2" x14ac:dyDescent="0.25">
      <c r="A898" s="4">
        <v>8515</v>
      </c>
      <c r="B898" s="4" t="s">
        <v>863</v>
      </c>
    </row>
    <row r="899" spans="1:2" x14ac:dyDescent="0.25">
      <c r="A899" s="4">
        <v>8516</v>
      </c>
      <c r="B899" s="4" t="s">
        <v>864</v>
      </c>
    </row>
    <row r="900" spans="1:2" x14ac:dyDescent="0.25">
      <c r="A900" s="4">
        <v>8517</v>
      </c>
      <c r="B900" s="4" t="s">
        <v>865</v>
      </c>
    </row>
    <row r="901" spans="1:2" x14ac:dyDescent="0.25">
      <c r="A901" s="4">
        <v>8518</v>
      </c>
      <c r="B901" s="4" t="s">
        <v>866</v>
      </c>
    </row>
    <row r="902" spans="1:2" x14ac:dyDescent="0.25">
      <c r="A902" s="4">
        <v>8519</v>
      </c>
      <c r="B902" s="4" t="s">
        <v>867</v>
      </c>
    </row>
    <row r="903" spans="1:2" x14ac:dyDescent="0.25">
      <c r="A903" s="4">
        <v>8520</v>
      </c>
      <c r="B903" s="4" t="s">
        <v>868</v>
      </c>
    </row>
    <row r="904" spans="1:2" x14ac:dyDescent="0.25">
      <c r="A904" s="4">
        <v>8521</v>
      </c>
      <c r="B904" s="4" t="s">
        <v>869</v>
      </c>
    </row>
    <row r="905" spans="1:2" x14ac:dyDescent="0.25">
      <c r="A905" s="4">
        <v>8522</v>
      </c>
      <c r="B905" s="4" t="s">
        <v>870</v>
      </c>
    </row>
    <row r="906" spans="1:2" x14ac:dyDescent="0.25">
      <c r="A906" s="4">
        <v>8523</v>
      </c>
      <c r="B906" s="4" t="s">
        <v>871</v>
      </c>
    </row>
    <row r="907" spans="1:2" x14ac:dyDescent="0.25">
      <c r="A907" s="4">
        <v>8525</v>
      </c>
      <c r="B907" s="4" t="s">
        <v>872</v>
      </c>
    </row>
    <row r="908" spans="1:2" x14ac:dyDescent="0.25">
      <c r="A908" s="4">
        <v>8526</v>
      </c>
      <c r="B908" s="4" t="s">
        <v>873</v>
      </c>
    </row>
    <row r="909" spans="1:2" x14ac:dyDescent="0.25">
      <c r="A909" s="4">
        <v>8527</v>
      </c>
      <c r="B909" s="4" t="s">
        <v>874</v>
      </c>
    </row>
    <row r="910" spans="1:2" x14ac:dyDescent="0.25">
      <c r="A910" s="4">
        <v>8529</v>
      </c>
      <c r="B910" s="4" t="s">
        <v>875</v>
      </c>
    </row>
    <row r="911" spans="1:2" x14ac:dyDescent="0.25">
      <c r="A911" s="4">
        <v>8530</v>
      </c>
      <c r="B911" s="4" t="s">
        <v>876</v>
      </c>
    </row>
    <row r="912" spans="1:2" x14ac:dyDescent="0.25">
      <c r="A912" s="4">
        <v>8531</v>
      </c>
      <c r="B912" s="4" t="s">
        <v>877</v>
      </c>
    </row>
    <row r="913" spans="1:2" x14ac:dyDescent="0.25">
      <c r="A913" s="4">
        <v>8532</v>
      </c>
      <c r="B913" s="4" t="s">
        <v>878</v>
      </c>
    </row>
    <row r="914" spans="1:2" x14ac:dyDescent="0.25">
      <c r="A914" s="4">
        <v>8533</v>
      </c>
      <c r="B914" s="4" t="s">
        <v>879</v>
      </c>
    </row>
    <row r="915" spans="1:2" x14ac:dyDescent="0.25">
      <c r="A915" s="4">
        <v>8534</v>
      </c>
      <c r="B915" s="4" t="s">
        <v>880</v>
      </c>
    </row>
    <row r="916" spans="1:2" x14ac:dyDescent="0.25">
      <c r="A916" s="4">
        <v>8535</v>
      </c>
      <c r="B916" s="4" t="s">
        <v>881</v>
      </c>
    </row>
    <row r="917" spans="1:2" x14ac:dyDescent="0.25">
      <c r="A917" s="4">
        <v>8536</v>
      </c>
      <c r="B917" s="4" t="s">
        <v>882</v>
      </c>
    </row>
    <row r="918" spans="1:2" x14ac:dyDescent="0.25">
      <c r="A918" s="4">
        <v>8537</v>
      </c>
      <c r="B918" s="4" t="s">
        <v>883</v>
      </c>
    </row>
    <row r="919" spans="1:2" x14ac:dyDescent="0.25">
      <c r="A919" s="4">
        <v>8538</v>
      </c>
      <c r="B919" s="4" t="s">
        <v>884</v>
      </c>
    </row>
    <row r="920" spans="1:2" x14ac:dyDescent="0.25">
      <c r="A920" s="4">
        <v>8539</v>
      </c>
      <c r="B920" s="4" t="s">
        <v>885</v>
      </c>
    </row>
    <row r="921" spans="1:2" x14ac:dyDescent="0.25">
      <c r="A921" s="4">
        <v>8540</v>
      </c>
      <c r="B921" s="4" t="s">
        <v>886</v>
      </c>
    </row>
    <row r="922" spans="1:2" x14ac:dyDescent="0.25">
      <c r="A922" s="4">
        <v>8541</v>
      </c>
      <c r="B922" s="4" t="s">
        <v>879</v>
      </c>
    </row>
    <row r="923" spans="1:2" x14ac:dyDescent="0.25">
      <c r="A923" s="4">
        <v>8542</v>
      </c>
      <c r="B923" s="4" t="s">
        <v>887</v>
      </c>
    </row>
    <row r="924" spans="1:2" x14ac:dyDescent="0.25">
      <c r="A924" s="4">
        <v>8543</v>
      </c>
      <c r="B924" s="4" t="s">
        <v>888</v>
      </c>
    </row>
    <row r="925" spans="1:2" x14ac:dyDescent="0.25">
      <c r="A925" s="4">
        <v>8544</v>
      </c>
      <c r="B925" s="4" t="s">
        <v>889</v>
      </c>
    </row>
    <row r="926" spans="1:2" x14ac:dyDescent="0.25">
      <c r="A926" s="4">
        <v>8545</v>
      </c>
      <c r="B926" s="4" t="s">
        <v>890</v>
      </c>
    </row>
    <row r="927" spans="1:2" x14ac:dyDescent="0.25">
      <c r="A927" s="4">
        <v>8546</v>
      </c>
      <c r="B927" s="4" t="s">
        <v>891</v>
      </c>
    </row>
    <row r="928" spans="1:2" x14ac:dyDescent="0.25">
      <c r="A928" s="4">
        <v>8547</v>
      </c>
      <c r="B928" s="4" t="s">
        <v>892</v>
      </c>
    </row>
    <row r="929" spans="1:2" x14ac:dyDescent="0.25">
      <c r="A929" s="4">
        <v>8548</v>
      </c>
      <c r="B929" s="4" t="s">
        <v>893</v>
      </c>
    </row>
    <row r="930" spans="1:2" x14ac:dyDescent="0.25">
      <c r="A930" s="4">
        <v>8549</v>
      </c>
      <c r="B930" s="4" t="s">
        <v>894</v>
      </c>
    </row>
    <row r="931" spans="1:2" x14ac:dyDescent="0.25">
      <c r="A931" s="4">
        <v>8550</v>
      </c>
      <c r="B931" s="4" t="s">
        <v>895</v>
      </c>
    </row>
    <row r="932" spans="1:2" x14ac:dyDescent="0.25">
      <c r="A932" s="4">
        <v>8551</v>
      </c>
      <c r="B932" s="4" t="s">
        <v>896</v>
      </c>
    </row>
    <row r="933" spans="1:2" x14ac:dyDescent="0.25">
      <c r="A933" s="4">
        <v>8552</v>
      </c>
      <c r="B933" s="4" t="s">
        <v>897</v>
      </c>
    </row>
    <row r="934" spans="1:2" x14ac:dyDescent="0.25">
      <c r="A934" s="4">
        <v>8553</v>
      </c>
      <c r="B934" s="4" t="s">
        <v>898</v>
      </c>
    </row>
    <row r="935" spans="1:2" x14ac:dyDescent="0.25">
      <c r="A935" s="4">
        <v>8561</v>
      </c>
      <c r="B935" s="4" t="s">
        <v>899</v>
      </c>
    </row>
    <row r="936" spans="1:2" x14ac:dyDescent="0.25">
      <c r="A936" s="4">
        <v>8562</v>
      </c>
      <c r="B936" s="4" t="s">
        <v>900</v>
      </c>
    </row>
    <row r="937" spans="1:2" x14ac:dyDescent="0.25">
      <c r="A937" s="4">
        <v>8563</v>
      </c>
      <c r="B937" s="4" t="s">
        <v>901</v>
      </c>
    </row>
    <row r="938" spans="1:2" x14ac:dyDescent="0.25">
      <c r="A938" s="4">
        <v>8565</v>
      </c>
      <c r="B938" s="4" t="s">
        <v>902</v>
      </c>
    </row>
    <row r="939" spans="1:2" x14ac:dyDescent="0.25">
      <c r="A939" s="4">
        <v>8601</v>
      </c>
      <c r="B939" s="4" t="s">
        <v>903</v>
      </c>
    </row>
    <row r="940" spans="1:2" x14ac:dyDescent="0.25">
      <c r="A940" s="4">
        <v>8602</v>
      </c>
      <c r="B940" s="4" t="s">
        <v>904</v>
      </c>
    </row>
    <row r="941" spans="1:2" x14ac:dyDescent="0.25">
      <c r="A941" s="4">
        <v>8603</v>
      </c>
      <c r="B941" s="4" t="s">
        <v>905</v>
      </c>
    </row>
    <row r="942" spans="1:2" x14ac:dyDescent="0.25">
      <c r="A942" s="4">
        <v>8604</v>
      </c>
      <c r="B942" s="4" t="s">
        <v>906</v>
      </c>
    </row>
    <row r="943" spans="1:2" x14ac:dyDescent="0.25">
      <c r="A943" s="4">
        <v>8605</v>
      </c>
      <c r="B943" s="4" t="s">
        <v>907</v>
      </c>
    </row>
    <row r="944" spans="1:2" x14ac:dyDescent="0.25">
      <c r="A944" s="4">
        <v>8606</v>
      </c>
      <c r="B944" s="4" t="s">
        <v>908</v>
      </c>
    </row>
    <row r="945" spans="1:2" x14ac:dyDescent="0.25">
      <c r="A945" s="4">
        <v>8607</v>
      </c>
      <c r="B945" s="4" t="s">
        <v>909</v>
      </c>
    </row>
    <row r="946" spans="1:2" x14ac:dyDescent="0.25">
      <c r="A946" s="4">
        <v>8608</v>
      </c>
      <c r="B946" s="4" t="s">
        <v>910</v>
      </c>
    </row>
    <row r="947" spans="1:2" x14ac:dyDescent="0.25">
      <c r="A947" s="4">
        <v>8609</v>
      </c>
      <c r="B947" s="4" t="s">
        <v>911</v>
      </c>
    </row>
    <row r="948" spans="1:2" x14ac:dyDescent="0.25">
      <c r="A948" s="4">
        <v>8610</v>
      </c>
      <c r="B948" s="4" t="s">
        <v>912</v>
      </c>
    </row>
    <row r="949" spans="1:2" x14ac:dyDescent="0.25">
      <c r="A949" s="4">
        <v>8611</v>
      </c>
      <c r="B949" s="4" t="s">
        <v>905</v>
      </c>
    </row>
    <row r="950" spans="1:2" x14ac:dyDescent="0.25">
      <c r="A950" s="4">
        <v>8612</v>
      </c>
      <c r="B950" s="4" t="s">
        <v>913</v>
      </c>
    </row>
    <row r="951" spans="1:2" x14ac:dyDescent="0.25">
      <c r="A951" s="4">
        <v>8613</v>
      </c>
      <c r="B951" s="4" t="s">
        <v>914</v>
      </c>
    </row>
    <row r="952" spans="1:2" x14ac:dyDescent="0.25">
      <c r="A952" s="4">
        <v>8614</v>
      </c>
      <c r="B952" s="4" t="s">
        <v>915</v>
      </c>
    </row>
    <row r="953" spans="1:2" x14ac:dyDescent="0.25">
      <c r="A953" s="4">
        <v>8615</v>
      </c>
      <c r="B953" s="4" t="s">
        <v>916</v>
      </c>
    </row>
    <row r="954" spans="1:2" x14ac:dyDescent="0.25">
      <c r="A954" s="4">
        <v>8616</v>
      </c>
      <c r="B954" s="4" t="s">
        <v>917</v>
      </c>
    </row>
    <row r="955" spans="1:2" x14ac:dyDescent="0.25">
      <c r="A955" s="4">
        <v>8617</v>
      </c>
      <c r="B955" s="4" t="s">
        <v>918</v>
      </c>
    </row>
    <row r="956" spans="1:2" x14ac:dyDescent="0.25">
      <c r="A956" s="4">
        <v>8618</v>
      </c>
      <c r="B956" s="4" t="s">
        <v>919</v>
      </c>
    </row>
    <row r="957" spans="1:2" x14ac:dyDescent="0.25">
      <c r="A957" s="4">
        <v>8619</v>
      </c>
      <c r="B957" s="4" t="s">
        <v>920</v>
      </c>
    </row>
    <row r="958" spans="1:2" x14ac:dyDescent="0.25">
      <c r="A958" s="4">
        <v>8620</v>
      </c>
      <c r="B958" s="4" t="s">
        <v>921</v>
      </c>
    </row>
    <row r="959" spans="1:2" x14ac:dyDescent="0.25">
      <c r="A959" s="4">
        <v>8621</v>
      </c>
      <c r="B959" s="4" t="s">
        <v>922</v>
      </c>
    </row>
    <row r="960" spans="1:2" x14ac:dyDescent="0.25">
      <c r="A960" s="4">
        <v>8622</v>
      </c>
      <c r="B960" s="4" t="s">
        <v>923</v>
      </c>
    </row>
    <row r="961" spans="1:2" x14ac:dyDescent="0.25">
      <c r="A961" s="4">
        <v>8623</v>
      </c>
      <c r="B961" s="4" t="s">
        <v>924</v>
      </c>
    </row>
    <row r="962" spans="1:2" x14ac:dyDescent="0.25">
      <c r="A962" s="4">
        <v>8625</v>
      </c>
      <c r="B962" s="4" t="s">
        <v>925</v>
      </c>
    </row>
    <row r="963" spans="1:2" x14ac:dyDescent="0.25">
      <c r="A963" s="4">
        <v>8626</v>
      </c>
      <c r="B963" s="4" t="s">
        <v>926</v>
      </c>
    </row>
    <row r="964" spans="1:2" x14ac:dyDescent="0.25">
      <c r="A964" s="4">
        <v>8627</v>
      </c>
      <c r="B964" s="4" t="s">
        <v>927</v>
      </c>
    </row>
    <row r="965" spans="1:2" x14ac:dyDescent="0.25">
      <c r="A965" s="4">
        <v>8629</v>
      </c>
      <c r="B965" s="4" t="s">
        <v>928</v>
      </c>
    </row>
    <row r="966" spans="1:2" x14ac:dyDescent="0.25">
      <c r="A966" s="4">
        <v>8630</v>
      </c>
      <c r="B966" s="4" t="s">
        <v>929</v>
      </c>
    </row>
    <row r="967" spans="1:2" x14ac:dyDescent="0.25">
      <c r="A967" s="4">
        <v>8631</v>
      </c>
      <c r="B967" s="4" t="s">
        <v>930</v>
      </c>
    </row>
    <row r="968" spans="1:2" x14ac:dyDescent="0.25">
      <c r="A968" s="4">
        <v>8632</v>
      </c>
      <c r="B968" s="4" t="s">
        <v>931</v>
      </c>
    </row>
    <row r="969" spans="1:2" x14ac:dyDescent="0.25">
      <c r="A969" s="4">
        <v>8633</v>
      </c>
      <c r="B969" s="4" t="s">
        <v>932</v>
      </c>
    </row>
    <row r="970" spans="1:2" x14ac:dyDescent="0.25">
      <c r="A970" s="4">
        <v>8634</v>
      </c>
      <c r="B970" s="4" t="s">
        <v>933</v>
      </c>
    </row>
    <row r="971" spans="1:2" x14ac:dyDescent="0.25">
      <c r="A971" s="4">
        <v>8635</v>
      </c>
      <c r="B971" s="4" t="s">
        <v>934</v>
      </c>
    </row>
    <row r="972" spans="1:2" x14ac:dyDescent="0.25">
      <c r="A972" s="4">
        <v>8636</v>
      </c>
      <c r="B972" s="4" t="s">
        <v>935</v>
      </c>
    </row>
    <row r="973" spans="1:2" x14ac:dyDescent="0.25">
      <c r="A973" s="4">
        <v>8637</v>
      </c>
      <c r="B973" s="4" t="s">
        <v>936</v>
      </c>
    </row>
    <row r="974" spans="1:2" x14ac:dyDescent="0.25">
      <c r="A974" s="4">
        <v>8638</v>
      </c>
      <c r="B974" s="4" t="s">
        <v>937</v>
      </c>
    </row>
    <row r="975" spans="1:2" x14ac:dyDescent="0.25">
      <c r="A975" s="4">
        <v>8639</v>
      </c>
      <c r="B975" s="4" t="s">
        <v>938</v>
      </c>
    </row>
    <row r="976" spans="1:2" x14ac:dyDescent="0.25">
      <c r="A976" s="4">
        <v>8640</v>
      </c>
      <c r="B976" s="4" t="s">
        <v>939</v>
      </c>
    </row>
    <row r="977" spans="1:2" x14ac:dyDescent="0.25">
      <c r="A977" s="4">
        <v>8641</v>
      </c>
      <c r="B977" s="4" t="s">
        <v>932</v>
      </c>
    </row>
    <row r="978" spans="1:2" x14ac:dyDescent="0.25">
      <c r="A978" s="4">
        <v>8642</v>
      </c>
      <c r="B978" s="4" t="s">
        <v>940</v>
      </c>
    </row>
    <row r="979" spans="1:2" x14ac:dyDescent="0.25">
      <c r="A979" s="4">
        <v>8643</v>
      </c>
      <c r="B979" s="4" t="s">
        <v>941</v>
      </c>
    </row>
    <row r="980" spans="1:2" x14ac:dyDescent="0.25">
      <c r="A980" s="4">
        <v>8644</v>
      </c>
      <c r="B980" s="4" t="s">
        <v>942</v>
      </c>
    </row>
    <row r="981" spans="1:2" x14ac:dyDescent="0.25">
      <c r="A981" s="4">
        <v>8645</v>
      </c>
      <c r="B981" s="4" t="s">
        <v>943</v>
      </c>
    </row>
    <row r="982" spans="1:2" x14ac:dyDescent="0.25">
      <c r="A982" s="4">
        <v>8646</v>
      </c>
      <c r="B982" s="4" t="s">
        <v>944</v>
      </c>
    </row>
    <row r="983" spans="1:2" x14ac:dyDescent="0.25">
      <c r="A983" s="4">
        <v>8647</v>
      </c>
      <c r="B983" s="4" t="s">
        <v>945</v>
      </c>
    </row>
    <row r="984" spans="1:2" x14ac:dyDescent="0.25">
      <c r="A984" s="4">
        <v>8648</v>
      </c>
      <c r="B984" s="4" t="s">
        <v>946</v>
      </c>
    </row>
    <row r="985" spans="1:2" x14ac:dyDescent="0.25">
      <c r="A985" s="4">
        <v>8649</v>
      </c>
      <c r="B985" s="4" t="s">
        <v>947</v>
      </c>
    </row>
    <row r="986" spans="1:2" x14ac:dyDescent="0.25">
      <c r="A986" s="4">
        <v>8650</v>
      </c>
      <c r="B986" s="4" t="s">
        <v>948</v>
      </c>
    </row>
    <row r="987" spans="1:2" x14ac:dyDescent="0.25">
      <c r="A987" s="4">
        <v>8651</v>
      </c>
      <c r="B987" s="4" t="s">
        <v>949</v>
      </c>
    </row>
    <row r="988" spans="1:2" x14ac:dyDescent="0.25">
      <c r="A988" s="4">
        <v>8652</v>
      </c>
      <c r="B988" s="4" t="s">
        <v>950</v>
      </c>
    </row>
    <row r="989" spans="1:2" x14ac:dyDescent="0.25">
      <c r="A989" s="4">
        <v>8653</v>
      </c>
      <c r="B989" s="4" t="s">
        <v>951</v>
      </c>
    </row>
    <row r="990" spans="1:2" x14ac:dyDescent="0.25">
      <c r="A990" s="4">
        <v>8661</v>
      </c>
      <c r="B990" s="4" t="s">
        <v>952</v>
      </c>
    </row>
    <row r="991" spans="1:2" x14ac:dyDescent="0.25">
      <c r="A991" s="4">
        <v>8662</v>
      </c>
      <c r="B991" s="4" t="s">
        <v>953</v>
      </c>
    </row>
    <row r="992" spans="1:2" x14ac:dyDescent="0.25">
      <c r="A992" s="4">
        <v>8663</v>
      </c>
      <c r="B992" s="4" t="s">
        <v>954</v>
      </c>
    </row>
    <row r="993" spans="1:2" x14ac:dyDescent="0.25">
      <c r="A993" s="4">
        <v>8665</v>
      </c>
      <c r="B993" s="4" t="s">
        <v>955</v>
      </c>
    </row>
    <row r="994" spans="1:2" x14ac:dyDescent="0.25">
      <c r="A994" s="4">
        <v>8701</v>
      </c>
      <c r="B994" s="4" t="s">
        <v>956</v>
      </c>
    </row>
    <row r="995" spans="1:2" x14ac:dyDescent="0.25">
      <c r="A995" s="4">
        <v>8702</v>
      </c>
      <c r="B995" s="4" t="s">
        <v>957</v>
      </c>
    </row>
    <row r="996" spans="1:2" x14ac:dyDescent="0.25">
      <c r="A996" s="4">
        <v>8703</v>
      </c>
      <c r="B996" s="4" t="s">
        <v>958</v>
      </c>
    </row>
    <row r="997" spans="1:2" x14ac:dyDescent="0.25">
      <c r="A997" s="4">
        <v>8704</v>
      </c>
      <c r="B997" s="4" t="s">
        <v>959</v>
      </c>
    </row>
    <row r="998" spans="1:2" x14ac:dyDescent="0.25">
      <c r="A998" s="4">
        <v>8705</v>
      </c>
      <c r="B998" s="4" t="s">
        <v>960</v>
      </c>
    </row>
    <row r="999" spans="1:2" x14ac:dyDescent="0.25">
      <c r="A999" s="4">
        <v>8706</v>
      </c>
      <c r="B999" s="4" t="s">
        <v>961</v>
      </c>
    </row>
    <row r="1000" spans="1:2" x14ac:dyDescent="0.25">
      <c r="A1000" s="4">
        <v>8707</v>
      </c>
      <c r="B1000" s="4" t="s">
        <v>962</v>
      </c>
    </row>
    <row r="1001" spans="1:2" x14ac:dyDescent="0.25">
      <c r="A1001" s="4">
        <v>8708</v>
      </c>
      <c r="B1001" s="4" t="s">
        <v>963</v>
      </c>
    </row>
    <row r="1002" spans="1:2" x14ac:dyDescent="0.25">
      <c r="A1002" s="4">
        <v>8709</v>
      </c>
      <c r="B1002" s="4" t="s">
        <v>964</v>
      </c>
    </row>
    <row r="1003" spans="1:2" x14ac:dyDescent="0.25">
      <c r="A1003" s="4">
        <v>8710</v>
      </c>
      <c r="B1003" s="4" t="s">
        <v>965</v>
      </c>
    </row>
    <row r="1004" spans="1:2" x14ac:dyDescent="0.25">
      <c r="A1004" s="4">
        <v>8711</v>
      </c>
      <c r="B1004" s="4" t="s">
        <v>958</v>
      </c>
    </row>
    <row r="1005" spans="1:2" x14ac:dyDescent="0.25">
      <c r="A1005" s="4">
        <v>8712</v>
      </c>
      <c r="B1005" s="4" t="s">
        <v>966</v>
      </c>
    </row>
    <row r="1006" spans="1:2" x14ac:dyDescent="0.25">
      <c r="A1006" s="4">
        <v>8713</v>
      </c>
      <c r="B1006" s="4" t="s">
        <v>967</v>
      </c>
    </row>
    <row r="1007" spans="1:2" x14ac:dyDescent="0.25">
      <c r="A1007" s="4">
        <v>8714</v>
      </c>
      <c r="B1007" s="4" t="s">
        <v>968</v>
      </c>
    </row>
    <row r="1008" spans="1:2" x14ac:dyDescent="0.25">
      <c r="A1008" s="4">
        <v>8715</v>
      </c>
      <c r="B1008" s="4" t="s">
        <v>969</v>
      </c>
    </row>
    <row r="1009" spans="1:2" x14ac:dyDescent="0.25">
      <c r="A1009" s="4">
        <v>8716</v>
      </c>
      <c r="B1009" s="4" t="s">
        <v>970</v>
      </c>
    </row>
    <row r="1010" spans="1:2" x14ac:dyDescent="0.25">
      <c r="A1010" s="4">
        <v>8717</v>
      </c>
      <c r="B1010" s="4" t="s">
        <v>971</v>
      </c>
    </row>
    <row r="1011" spans="1:2" x14ac:dyDescent="0.25">
      <c r="A1011" s="4">
        <v>8718</v>
      </c>
      <c r="B1011" s="4" t="s">
        <v>972</v>
      </c>
    </row>
    <row r="1012" spans="1:2" x14ac:dyDescent="0.25">
      <c r="A1012" s="4">
        <v>8719</v>
      </c>
      <c r="B1012" s="4" t="s">
        <v>973</v>
      </c>
    </row>
    <row r="1013" spans="1:2" x14ac:dyDescent="0.25">
      <c r="A1013" s="4">
        <v>8720</v>
      </c>
      <c r="B1013" s="4" t="s">
        <v>974</v>
      </c>
    </row>
    <row r="1014" spans="1:2" x14ac:dyDescent="0.25">
      <c r="A1014" s="4">
        <v>8721</v>
      </c>
      <c r="B1014" s="4" t="s">
        <v>975</v>
      </c>
    </row>
    <row r="1015" spans="1:2" x14ac:dyDescent="0.25">
      <c r="A1015" s="4">
        <v>8722</v>
      </c>
      <c r="B1015" s="4" t="s">
        <v>976</v>
      </c>
    </row>
    <row r="1016" spans="1:2" x14ac:dyDescent="0.25">
      <c r="A1016" s="4">
        <v>8723</v>
      </c>
      <c r="B1016" s="4" t="s">
        <v>977</v>
      </c>
    </row>
    <row r="1017" spans="1:2" x14ac:dyDescent="0.25">
      <c r="A1017" s="4">
        <v>8726</v>
      </c>
      <c r="B1017" s="4" t="s">
        <v>978</v>
      </c>
    </row>
    <row r="1018" spans="1:2" x14ac:dyDescent="0.25">
      <c r="A1018" s="4">
        <v>8727</v>
      </c>
      <c r="B1018" s="4" t="s">
        <v>979</v>
      </c>
    </row>
    <row r="1019" spans="1:2" x14ac:dyDescent="0.25">
      <c r="A1019" s="4">
        <v>8729</v>
      </c>
      <c r="B1019" s="4" t="s">
        <v>980</v>
      </c>
    </row>
    <row r="1020" spans="1:2" x14ac:dyDescent="0.25">
      <c r="A1020" s="4">
        <v>8730</v>
      </c>
      <c r="B1020" s="4" t="s">
        <v>981</v>
      </c>
    </row>
    <row r="1021" spans="1:2" x14ac:dyDescent="0.25">
      <c r="A1021" s="4">
        <v>8731</v>
      </c>
      <c r="B1021" s="4" t="s">
        <v>982</v>
      </c>
    </row>
    <row r="1022" spans="1:2" x14ac:dyDescent="0.25">
      <c r="A1022" s="4">
        <v>8732</v>
      </c>
      <c r="B1022" s="4" t="s">
        <v>983</v>
      </c>
    </row>
    <row r="1023" spans="1:2" x14ac:dyDescent="0.25">
      <c r="A1023" s="4">
        <v>8733</v>
      </c>
      <c r="B1023" s="4" t="s">
        <v>984</v>
      </c>
    </row>
    <row r="1024" spans="1:2" x14ac:dyDescent="0.25">
      <c r="A1024" s="4">
        <v>8734</v>
      </c>
      <c r="B1024" s="4" t="s">
        <v>985</v>
      </c>
    </row>
    <row r="1025" spans="1:2" x14ac:dyDescent="0.25">
      <c r="A1025" s="4">
        <v>8735</v>
      </c>
      <c r="B1025" s="4" t="s">
        <v>986</v>
      </c>
    </row>
    <row r="1026" spans="1:2" x14ac:dyDescent="0.25">
      <c r="A1026" s="4">
        <v>8736</v>
      </c>
      <c r="B1026" s="4" t="s">
        <v>987</v>
      </c>
    </row>
    <row r="1027" spans="1:2" x14ac:dyDescent="0.25">
      <c r="A1027" s="4">
        <v>8737</v>
      </c>
      <c r="B1027" s="4" t="s">
        <v>988</v>
      </c>
    </row>
    <row r="1028" spans="1:2" x14ac:dyDescent="0.25">
      <c r="A1028" s="4">
        <v>8738</v>
      </c>
      <c r="B1028" s="4" t="s">
        <v>989</v>
      </c>
    </row>
    <row r="1029" spans="1:2" x14ac:dyDescent="0.25">
      <c r="A1029" s="4">
        <v>8739</v>
      </c>
      <c r="B1029" s="4" t="s">
        <v>990</v>
      </c>
    </row>
    <row r="1030" spans="1:2" x14ac:dyDescent="0.25">
      <c r="A1030" s="4">
        <v>8740</v>
      </c>
      <c r="B1030" s="4" t="s">
        <v>991</v>
      </c>
    </row>
    <row r="1031" spans="1:2" x14ac:dyDescent="0.25">
      <c r="A1031" s="4">
        <v>8741</v>
      </c>
      <c r="B1031" s="4" t="s">
        <v>984</v>
      </c>
    </row>
    <row r="1032" spans="1:2" x14ac:dyDescent="0.25">
      <c r="A1032" s="4">
        <v>8742</v>
      </c>
      <c r="B1032" s="4" t="s">
        <v>992</v>
      </c>
    </row>
    <row r="1033" spans="1:2" x14ac:dyDescent="0.25">
      <c r="A1033" s="4">
        <v>8743</v>
      </c>
      <c r="B1033" s="4" t="s">
        <v>993</v>
      </c>
    </row>
    <row r="1034" spans="1:2" x14ac:dyDescent="0.25">
      <c r="A1034" s="4">
        <v>8744</v>
      </c>
      <c r="B1034" s="4" t="s">
        <v>994</v>
      </c>
    </row>
    <row r="1035" spans="1:2" x14ac:dyDescent="0.25">
      <c r="A1035" s="4">
        <v>8745</v>
      </c>
      <c r="B1035" s="4" t="s">
        <v>995</v>
      </c>
    </row>
    <row r="1036" spans="1:2" x14ac:dyDescent="0.25">
      <c r="A1036" s="4">
        <v>8746</v>
      </c>
      <c r="B1036" s="4" t="s">
        <v>996</v>
      </c>
    </row>
    <row r="1037" spans="1:2" x14ac:dyDescent="0.25">
      <c r="A1037" s="4">
        <v>8747</v>
      </c>
      <c r="B1037" s="4" t="s">
        <v>997</v>
      </c>
    </row>
    <row r="1038" spans="1:2" x14ac:dyDescent="0.25">
      <c r="A1038" s="4">
        <v>8748</v>
      </c>
      <c r="B1038" s="4" t="s">
        <v>998</v>
      </c>
    </row>
    <row r="1039" spans="1:2" x14ac:dyDescent="0.25">
      <c r="A1039" s="4">
        <v>8749</v>
      </c>
      <c r="B1039" s="4" t="s">
        <v>999</v>
      </c>
    </row>
    <row r="1040" spans="1:2" x14ac:dyDescent="0.25">
      <c r="A1040" s="4">
        <v>8750</v>
      </c>
      <c r="B1040" s="4" t="s">
        <v>1000</v>
      </c>
    </row>
    <row r="1041" spans="1:2" x14ac:dyDescent="0.25">
      <c r="A1041" s="4">
        <v>8751</v>
      </c>
      <c r="B1041" s="4" t="s">
        <v>1001</v>
      </c>
    </row>
    <row r="1042" spans="1:2" x14ac:dyDescent="0.25">
      <c r="A1042" s="4">
        <v>8752</v>
      </c>
      <c r="B1042" s="4" t="s">
        <v>1002</v>
      </c>
    </row>
    <row r="1043" spans="1:2" x14ac:dyDescent="0.25">
      <c r="A1043" s="4">
        <v>8753</v>
      </c>
      <c r="B1043" s="4" t="s">
        <v>1003</v>
      </c>
    </row>
    <row r="1044" spans="1:2" x14ac:dyDescent="0.25">
      <c r="A1044" s="4">
        <v>8761</v>
      </c>
      <c r="B1044" s="4" t="s">
        <v>1004</v>
      </c>
    </row>
    <row r="1045" spans="1:2" x14ac:dyDescent="0.25">
      <c r="A1045" s="4">
        <v>8762</v>
      </c>
      <c r="B1045" s="4" t="s">
        <v>1005</v>
      </c>
    </row>
    <row r="1046" spans="1:2" x14ac:dyDescent="0.25">
      <c r="A1046" s="4">
        <v>8763</v>
      </c>
      <c r="B1046" s="4" t="s">
        <v>1006</v>
      </c>
    </row>
    <row r="1047" spans="1:2" x14ac:dyDescent="0.25">
      <c r="A1047" s="4">
        <v>8765</v>
      </c>
      <c r="B1047" s="4" t="s">
        <v>1007</v>
      </c>
    </row>
    <row r="1048" spans="1:2" x14ac:dyDescent="0.25">
      <c r="A1048" s="4">
        <v>8801</v>
      </c>
      <c r="B1048" s="4" t="s">
        <v>1008</v>
      </c>
    </row>
    <row r="1049" spans="1:2" x14ac:dyDescent="0.25">
      <c r="A1049" s="4">
        <v>8802</v>
      </c>
      <c r="B1049" s="4" t="s">
        <v>1009</v>
      </c>
    </row>
    <row r="1050" spans="1:2" x14ac:dyDescent="0.25">
      <c r="A1050" s="4">
        <v>8803</v>
      </c>
      <c r="B1050" s="4" t="s">
        <v>1010</v>
      </c>
    </row>
    <row r="1051" spans="1:2" x14ac:dyDescent="0.25">
      <c r="A1051" s="4">
        <v>8804</v>
      </c>
      <c r="B1051" s="4" t="s">
        <v>1011</v>
      </c>
    </row>
    <row r="1052" spans="1:2" x14ac:dyDescent="0.25">
      <c r="A1052" s="4">
        <v>8805</v>
      </c>
      <c r="B1052" s="4" t="s">
        <v>1012</v>
      </c>
    </row>
    <row r="1053" spans="1:2" x14ac:dyDescent="0.25">
      <c r="A1053" s="4">
        <v>8806</v>
      </c>
      <c r="B1053" s="4" t="s">
        <v>1013</v>
      </c>
    </row>
    <row r="1054" spans="1:2" x14ac:dyDescent="0.25">
      <c r="A1054" s="4">
        <v>8807</v>
      </c>
      <c r="B1054" s="4" t="s">
        <v>1014</v>
      </c>
    </row>
    <row r="1055" spans="1:2" x14ac:dyDescent="0.25">
      <c r="A1055" s="4">
        <v>8808</v>
      </c>
      <c r="B1055" s="4" t="s">
        <v>1015</v>
      </c>
    </row>
    <row r="1056" spans="1:2" x14ac:dyDescent="0.25">
      <c r="A1056" s="4">
        <v>8809</v>
      </c>
      <c r="B1056" s="4" t="s">
        <v>1016</v>
      </c>
    </row>
    <row r="1057" spans="1:2" x14ac:dyDescent="0.25">
      <c r="A1057" s="4">
        <v>8810</v>
      </c>
      <c r="B1057" s="4" t="s">
        <v>1017</v>
      </c>
    </row>
    <row r="1058" spans="1:2" x14ac:dyDescent="0.25">
      <c r="A1058" s="4">
        <v>8811</v>
      </c>
      <c r="B1058" s="4" t="s">
        <v>1010</v>
      </c>
    </row>
    <row r="1059" spans="1:2" x14ac:dyDescent="0.25">
      <c r="A1059" s="4">
        <v>8812</v>
      </c>
      <c r="B1059" s="4" t="s">
        <v>1018</v>
      </c>
    </row>
    <row r="1060" spans="1:2" x14ac:dyDescent="0.25">
      <c r="A1060" s="4">
        <v>8813</v>
      </c>
      <c r="B1060" s="4" t="s">
        <v>1019</v>
      </c>
    </row>
    <row r="1061" spans="1:2" x14ac:dyDescent="0.25">
      <c r="A1061" s="4">
        <v>8814</v>
      </c>
      <c r="B1061" s="4" t="s">
        <v>1020</v>
      </c>
    </row>
    <row r="1062" spans="1:2" x14ac:dyDescent="0.25">
      <c r="A1062" s="4">
        <v>8815</v>
      </c>
      <c r="B1062" s="4" t="s">
        <v>1021</v>
      </c>
    </row>
    <row r="1063" spans="1:2" x14ac:dyDescent="0.25">
      <c r="A1063" s="4">
        <v>8816</v>
      </c>
      <c r="B1063" s="4" t="s">
        <v>1022</v>
      </c>
    </row>
    <row r="1064" spans="1:2" x14ac:dyDescent="0.25">
      <c r="A1064" s="4">
        <v>8817</v>
      </c>
      <c r="B1064" s="4" t="s">
        <v>1023</v>
      </c>
    </row>
    <row r="1065" spans="1:2" x14ac:dyDescent="0.25">
      <c r="A1065" s="4">
        <v>8818</v>
      </c>
      <c r="B1065" s="4" t="s">
        <v>1024</v>
      </c>
    </row>
    <row r="1066" spans="1:2" x14ac:dyDescent="0.25">
      <c r="A1066" s="4">
        <v>8819</v>
      </c>
      <c r="B1066" s="4" t="s">
        <v>1025</v>
      </c>
    </row>
    <row r="1067" spans="1:2" x14ac:dyDescent="0.25">
      <c r="A1067" s="4">
        <v>8820</v>
      </c>
      <c r="B1067" s="4" t="s">
        <v>1026</v>
      </c>
    </row>
    <row r="1068" spans="1:2" x14ac:dyDescent="0.25">
      <c r="A1068" s="4">
        <v>8821</v>
      </c>
      <c r="B1068" s="4" t="s">
        <v>1027</v>
      </c>
    </row>
    <row r="1069" spans="1:2" x14ac:dyDescent="0.25">
      <c r="A1069" s="4">
        <v>8822</v>
      </c>
      <c r="B1069" s="4" t="s">
        <v>1028</v>
      </c>
    </row>
    <row r="1070" spans="1:2" x14ac:dyDescent="0.25">
      <c r="A1070" s="4">
        <v>8823</v>
      </c>
      <c r="B1070" s="4" t="s">
        <v>1029</v>
      </c>
    </row>
    <row r="1071" spans="1:2" x14ac:dyDescent="0.25">
      <c r="A1071" s="4">
        <v>8826</v>
      </c>
      <c r="B1071" s="4" t="s">
        <v>1030</v>
      </c>
    </row>
    <row r="1072" spans="1:2" x14ac:dyDescent="0.25">
      <c r="A1072" s="4">
        <v>8827</v>
      </c>
      <c r="B1072" s="4" t="s">
        <v>1031</v>
      </c>
    </row>
    <row r="1073" spans="1:2" x14ac:dyDescent="0.25">
      <c r="A1073" s="4">
        <v>8829</v>
      </c>
      <c r="B1073" s="4" t="s">
        <v>1032</v>
      </c>
    </row>
    <row r="1074" spans="1:2" x14ac:dyDescent="0.25">
      <c r="A1074" s="4">
        <v>8830</v>
      </c>
      <c r="B1074" s="4" t="s">
        <v>1033</v>
      </c>
    </row>
    <row r="1075" spans="1:2" x14ac:dyDescent="0.25">
      <c r="A1075" s="4">
        <v>8831</v>
      </c>
      <c r="B1075" s="4" t="s">
        <v>1034</v>
      </c>
    </row>
    <row r="1076" spans="1:2" x14ac:dyDescent="0.25">
      <c r="A1076" s="4">
        <v>8832</v>
      </c>
      <c r="B1076" s="4" t="s">
        <v>1035</v>
      </c>
    </row>
    <row r="1077" spans="1:2" x14ac:dyDescent="0.25">
      <c r="A1077" s="4">
        <v>8833</v>
      </c>
      <c r="B1077" s="4" t="s">
        <v>1036</v>
      </c>
    </row>
    <row r="1078" spans="1:2" x14ac:dyDescent="0.25">
      <c r="A1078" s="4">
        <v>8834</v>
      </c>
      <c r="B1078" s="4" t="s">
        <v>1037</v>
      </c>
    </row>
    <row r="1079" spans="1:2" x14ac:dyDescent="0.25">
      <c r="A1079" s="4">
        <v>8835</v>
      </c>
      <c r="B1079" s="4" t="s">
        <v>1038</v>
      </c>
    </row>
    <row r="1080" spans="1:2" x14ac:dyDescent="0.25">
      <c r="A1080" s="4">
        <v>8836</v>
      </c>
      <c r="B1080" s="4" t="s">
        <v>1039</v>
      </c>
    </row>
    <row r="1081" spans="1:2" x14ac:dyDescent="0.25">
      <c r="A1081" s="4">
        <v>8837</v>
      </c>
      <c r="B1081" s="4" t="s">
        <v>1040</v>
      </c>
    </row>
    <row r="1082" spans="1:2" x14ac:dyDescent="0.25">
      <c r="A1082" s="4">
        <v>8838</v>
      </c>
      <c r="B1082" s="4" t="s">
        <v>1041</v>
      </c>
    </row>
    <row r="1083" spans="1:2" x14ac:dyDescent="0.25">
      <c r="A1083" s="4">
        <v>8839</v>
      </c>
      <c r="B1083" s="4" t="s">
        <v>1042</v>
      </c>
    </row>
    <row r="1084" spans="1:2" x14ac:dyDescent="0.25">
      <c r="A1084" s="4">
        <v>8840</v>
      </c>
      <c r="B1084" s="4" t="s">
        <v>1043</v>
      </c>
    </row>
    <row r="1085" spans="1:2" x14ac:dyDescent="0.25">
      <c r="A1085" s="4">
        <v>8841</v>
      </c>
      <c r="B1085" s="4" t="s">
        <v>1036</v>
      </c>
    </row>
    <row r="1086" spans="1:2" x14ac:dyDescent="0.25">
      <c r="A1086" s="4">
        <v>8842</v>
      </c>
      <c r="B1086" s="4" t="s">
        <v>1044</v>
      </c>
    </row>
    <row r="1087" spans="1:2" x14ac:dyDescent="0.25">
      <c r="A1087" s="4">
        <v>8843</v>
      </c>
      <c r="B1087" s="4" t="s">
        <v>1045</v>
      </c>
    </row>
    <row r="1088" spans="1:2" x14ac:dyDescent="0.25">
      <c r="A1088" s="4">
        <v>8844</v>
      </c>
      <c r="B1088" s="4" t="s">
        <v>1046</v>
      </c>
    </row>
    <row r="1089" spans="1:2" x14ac:dyDescent="0.25">
      <c r="A1089" s="4">
        <v>8845</v>
      </c>
      <c r="B1089" s="4" t="s">
        <v>1047</v>
      </c>
    </row>
    <row r="1090" spans="1:2" x14ac:dyDescent="0.25">
      <c r="A1090" s="4">
        <v>8846</v>
      </c>
      <c r="B1090" s="4" t="s">
        <v>1048</v>
      </c>
    </row>
    <row r="1091" spans="1:2" x14ac:dyDescent="0.25">
      <c r="A1091" s="4">
        <v>8847</v>
      </c>
      <c r="B1091" s="4" t="s">
        <v>1049</v>
      </c>
    </row>
    <row r="1092" spans="1:2" x14ac:dyDescent="0.25">
      <c r="A1092" s="4">
        <v>8848</v>
      </c>
      <c r="B1092" s="4" t="s">
        <v>1050</v>
      </c>
    </row>
    <row r="1093" spans="1:2" x14ac:dyDescent="0.25">
      <c r="A1093" s="4">
        <v>8849</v>
      </c>
      <c r="B1093" s="4" t="s">
        <v>1051</v>
      </c>
    </row>
    <row r="1094" spans="1:2" x14ac:dyDescent="0.25">
      <c r="A1094" s="4">
        <v>8850</v>
      </c>
      <c r="B1094" s="4" t="s">
        <v>1052</v>
      </c>
    </row>
    <row r="1095" spans="1:2" x14ac:dyDescent="0.25">
      <c r="A1095" s="4">
        <v>8851</v>
      </c>
      <c r="B1095" s="4" t="s">
        <v>1053</v>
      </c>
    </row>
    <row r="1096" spans="1:2" x14ac:dyDescent="0.25">
      <c r="A1096" s="4">
        <v>8852</v>
      </c>
      <c r="B1096" s="4" t="s">
        <v>1054</v>
      </c>
    </row>
    <row r="1097" spans="1:2" x14ac:dyDescent="0.25">
      <c r="A1097" s="4">
        <v>8853</v>
      </c>
      <c r="B1097" s="4" t="s">
        <v>1055</v>
      </c>
    </row>
    <row r="1098" spans="1:2" x14ac:dyDescent="0.25">
      <c r="A1098" s="4">
        <v>8861</v>
      </c>
      <c r="B1098" s="4" t="s">
        <v>1056</v>
      </c>
    </row>
    <row r="1099" spans="1:2" x14ac:dyDescent="0.25">
      <c r="A1099" s="4">
        <v>8862</v>
      </c>
      <c r="B1099" s="4" t="s">
        <v>1057</v>
      </c>
    </row>
    <row r="1100" spans="1:2" x14ac:dyDescent="0.25">
      <c r="A1100" s="4">
        <v>8863</v>
      </c>
      <c r="B1100" s="4" t="s">
        <v>1058</v>
      </c>
    </row>
    <row r="1101" spans="1:2" x14ac:dyDescent="0.25">
      <c r="A1101" s="4">
        <v>8865</v>
      </c>
      <c r="B1101" s="4" t="s">
        <v>1059</v>
      </c>
    </row>
    <row r="1102" spans="1:2" x14ac:dyDescent="0.25">
      <c r="A1102" s="4">
        <v>9101</v>
      </c>
      <c r="B1102" s="4" t="s">
        <v>1060</v>
      </c>
    </row>
    <row r="1103" spans="1:2" x14ac:dyDescent="0.25">
      <c r="A1103" s="4">
        <v>9201</v>
      </c>
      <c r="B1103" s="4" t="s">
        <v>1061</v>
      </c>
    </row>
    <row r="1104" spans="1:2" x14ac:dyDescent="0.25">
      <c r="A1104" s="4">
        <v>9301</v>
      </c>
      <c r="B1104" s="4" t="s">
        <v>1062</v>
      </c>
    </row>
    <row r="1105" spans="1:2" x14ac:dyDescent="0.25">
      <c r="A1105" s="4">
        <v>9401</v>
      </c>
      <c r="B1105" s="4" t="s">
        <v>1063</v>
      </c>
    </row>
    <row r="1106" spans="1:2" x14ac:dyDescent="0.25">
      <c r="A1106" s="4">
        <v>18101</v>
      </c>
      <c r="B1106" s="4" t="s">
        <v>1064</v>
      </c>
    </row>
    <row r="1107" spans="1:2" x14ac:dyDescent="0.25">
      <c r="A1107" s="4">
        <v>18102</v>
      </c>
      <c r="B1107" s="4" t="s">
        <v>1065</v>
      </c>
    </row>
    <row r="1108" spans="1:2" x14ac:dyDescent="0.25">
      <c r="A1108" s="4">
        <v>18103</v>
      </c>
      <c r="B1108" s="4" t="s">
        <v>1066</v>
      </c>
    </row>
    <row r="1109" spans="1:2" x14ac:dyDescent="0.25">
      <c r="A1109" s="4">
        <v>18104</v>
      </c>
      <c r="B1109" s="4" t="s">
        <v>1067</v>
      </c>
    </row>
    <row r="1110" spans="1:2" x14ac:dyDescent="0.25">
      <c r="A1110" s="4">
        <v>18105</v>
      </c>
      <c r="B1110" s="4" t="s">
        <v>1068</v>
      </c>
    </row>
    <row r="1111" spans="1:2" x14ac:dyDescent="0.25">
      <c r="A1111" s="4">
        <v>18106</v>
      </c>
      <c r="B1111" s="4" t="s">
        <v>1069</v>
      </c>
    </row>
    <row r="1112" spans="1:2" x14ac:dyDescent="0.25">
      <c r="A1112" s="4">
        <v>18107</v>
      </c>
      <c r="B1112" s="4" t="s">
        <v>1070</v>
      </c>
    </row>
    <row r="1113" spans="1:2" x14ac:dyDescent="0.25">
      <c r="A1113" s="4">
        <v>18108</v>
      </c>
      <c r="B1113" s="4" t="s">
        <v>1071</v>
      </c>
    </row>
    <row r="1114" spans="1:2" x14ac:dyDescent="0.25">
      <c r="A1114" s="4">
        <v>18109</v>
      </c>
      <c r="B1114" s="4" t="s">
        <v>1072</v>
      </c>
    </row>
    <row r="1115" spans="1:2" x14ac:dyDescent="0.25">
      <c r="A1115" s="4">
        <v>18110</v>
      </c>
      <c r="B1115" s="4" t="s">
        <v>1073</v>
      </c>
    </row>
    <row r="1116" spans="1:2" x14ac:dyDescent="0.25">
      <c r="A1116" s="4">
        <v>18111</v>
      </c>
      <c r="B1116" s="4" t="s">
        <v>1074</v>
      </c>
    </row>
    <row r="1117" spans="1:2" x14ac:dyDescent="0.25">
      <c r="A1117" s="4">
        <v>18112</v>
      </c>
      <c r="B1117" s="4" t="s">
        <v>1075</v>
      </c>
    </row>
    <row r="1118" spans="1:2" x14ac:dyDescent="0.25">
      <c r="A1118" s="4">
        <v>18113</v>
      </c>
      <c r="B1118" s="4" t="s">
        <v>1076</v>
      </c>
    </row>
    <row r="1119" spans="1:2" x14ac:dyDescent="0.25">
      <c r="A1119" s="4">
        <v>18114</v>
      </c>
      <c r="B1119" s="4" t="s">
        <v>1077</v>
      </c>
    </row>
    <row r="1120" spans="1:2" x14ac:dyDescent="0.25">
      <c r="A1120" s="4">
        <v>18115</v>
      </c>
      <c r="B1120" s="4" t="s">
        <v>1078</v>
      </c>
    </row>
    <row r="1121" spans="1:2" x14ac:dyDescent="0.25">
      <c r="A1121" s="4">
        <v>18116</v>
      </c>
      <c r="B1121" s="4" t="s">
        <v>1079</v>
      </c>
    </row>
    <row r="1122" spans="1:2" x14ac:dyDescent="0.25">
      <c r="A1122" s="4">
        <v>18117</v>
      </c>
      <c r="B1122" s="4" t="s">
        <v>1080</v>
      </c>
    </row>
    <row r="1123" spans="1:2" x14ac:dyDescent="0.25">
      <c r="A1123" s="4">
        <v>18118</v>
      </c>
      <c r="B1123" s="4" t="s">
        <v>1081</v>
      </c>
    </row>
    <row r="1124" spans="1:2" x14ac:dyDescent="0.25">
      <c r="A1124" s="4">
        <v>18119</v>
      </c>
      <c r="B1124" s="4" t="s">
        <v>1082</v>
      </c>
    </row>
    <row r="1125" spans="1:2" x14ac:dyDescent="0.25">
      <c r="A1125" s="4">
        <v>18120</v>
      </c>
      <c r="B1125" s="4" t="s">
        <v>1083</v>
      </c>
    </row>
    <row r="1126" spans="1:2" x14ac:dyDescent="0.25">
      <c r="A1126" s="4">
        <v>18121</v>
      </c>
      <c r="B1126" s="4" t="s">
        <v>1084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Polls</vt:lpstr>
      <vt:lpstr>LogLevels</vt:lpstr>
      <vt:lpstr>RegisterDescriptions</vt:lpstr>
      <vt:lpstr>LogLevel</vt:lpstr>
      <vt:lpstr>RegDesc</vt:lpstr>
      <vt:lpstr>RegDescr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Selvia, Ken</dc:creator>
  <cp:lastModifiedBy>gotaudio</cp:lastModifiedBy>
  <dcterms:created xsi:type="dcterms:W3CDTF">2006-09-16T00:00:00Z</dcterms:created>
  <dcterms:modified xsi:type="dcterms:W3CDTF">2015-08-11T07:06:51Z</dcterms:modified>
</cp:coreProperties>
</file>