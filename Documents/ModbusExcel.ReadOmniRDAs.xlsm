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dev\repos\Got\ModbusExcel\xDocuments\"/>
    </mc:Choice>
  </mc:AlternateContent>
  <bookViews>
    <workbookView xWindow="870" yWindow="825" windowWidth="13815" windowHeight="6825"/>
  </bookViews>
  <sheets>
    <sheet name="Polls" sheetId="1" r:id="rId1"/>
    <sheet name="LogLevels" sheetId="18" r:id="rId2"/>
  </sheets>
  <functionGroups builtInGroupCount="18"/>
  <definedNames>
    <definedName name="LogLevel">LogLevels!$B$18</definedName>
  </definedNames>
  <calcPr calcId="152511"/>
</workbook>
</file>

<file path=xl/calcChain.xml><?xml version="1.0" encoding="utf-8"?>
<calcChain xmlns="http://schemas.openxmlformats.org/spreadsheetml/2006/main">
  <c r="B18" i="18" l="1"/>
  <c r="C2" i="1"/>
  <c r="K17" i="1"/>
  <c r="P17" i="1"/>
  <c r="O17" i="1"/>
  <c r="L17" i="1"/>
  <c r="H17" i="1"/>
  <c r="R17" i="1"/>
  <c r="T17" i="1"/>
  <c r="Q17" i="1"/>
  <c r="J17" i="1"/>
  <c r="E17" i="1"/>
  <c r="G17" i="1"/>
  <c r="N17" i="1"/>
  <c r="S17" i="1"/>
  <c r="F17" i="1"/>
  <c r="M17" i="1"/>
  <c r="V17" i="1"/>
  <c r="U17" i="1"/>
  <c r="I17" i="1"/>
  <c r="C3" i="1"/>
  <c r="C7" i="1"/>
  <c r="AF17" i="1" l="1"/>
  <c r="AA17" i="1"/>
  <c r="Y17" i="1"/>
  <c r="Z17" i="1"/>
  <c r="AD17" i="1"/>
  <c r="AE17" i="1"/>
  <c r="AB17" i="1"/>
  <c r="AC17" i="1"/>
  <c r="X17" i="1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C6" i="1"/>
  <c r="C8" i="1"/>
  <c r="C15" i="1"/>
  <c r="C5" i="1"/>
  <c r="C9" i="1"/>
  <c r="A3" i="18" l="1"/>
  <c r="C10" i="1"/>
  <c r="C14" i="1"/>
  <c r="C13" i="1"/>
  <c r="C12" i="1"/>
  <c r="C11" i="1"/>
  <c r="C4" i="1"/>
</calcChain>
</file>

<file path=xl/sharedStrings.xml><?xml version="1.0" encoding="utf-8"?>
<sst xmlns="http://schemas.openxmlformats.org/spreadsheetml/2006/main" count="79" uniqueCount="66">
  <si>
    <t>Host</t>
  </si>
  <si>
    <t>Unit</t>
  </si>
  <si>
    <t>Modicon</t>
  </si>
  <si>
    <t>Excel Update Rate (Default=2000ms)</t>
  </si>
  <si>
    <t>Poll Rate (-1=Disabled,0=Once, n=ms)</t>
  </si>
  <si>
    <t>Delete Cached Values (True, False)</t>
  </si>
  <si>
    <t>Info:Topic Count</t>
  </si>
  <si>
    <t>Info:Connections</t>
  </si>
  <si>
    <t>Info:Sent/Received</t>
  </si>
  <si>
    <t>Socket timeout (Default=10000ms)</t>
  </si>
  <si>
    <t>Y</t>
  </si>
  <si>
    <t>Connection (PerRegister/PerDevice)</t>
  </si>
  <si>
    <t>Enable</t>
  </si>
  <si>
    <t>Length</t>
  </si>
  <si>
    <t>N</t>
  </si>
  <si>
    <t>Modbus Tools for Excel  (V.082512.1)</t>
  </si>
  <si>
    <t>127.0.0.1</t>
  </si>
  <si>
    <t>Connect Status</t>
  </si>
  <si>
    <t>Errors</t>
  </si>
  <si>
    <t>RefreshData()</t>
  </si>
  <si>
    <t xml:space="preserve">Hex Output    </t>
  </si>
  <si>
    <t>StateInfo+Stats+Data</t>
  </si>
  <si>
    <t>StateInfo+Stats</t>
  </si>
  <si>
    <t>StateInfo+Data</t>
  </si>
  <si>
    <t>Read Request</t>
  </si>
  <si>
    <t>Response Received</t>
  </si>
  <si>
    <t>Connect/Disconnect</t>
  </si>
  <si>
    <t>Server Start/Stop</t>
  </si>
  <si>
    <t>Other Topic Register</t>
  </si>
  <si>
    <t>Config Topic Register</t>
  </si>
  <si>
    <t>Port</t>
  </si>
  <si>
    <t>Info: Connections Pending</t>
  </si>
  <si>
    <t>MaxConnectionsPending</t>
  </si>
  <si>
    <t>Info: Reads Pending</t>
  </si>
  <si>
    <t>MaxPendingReads</t>
  </si>
  <si>
    <t>Min Connections Before Read</t>
  </si>
  <si>
    <t>Simulate (0=No,-1=Con,1=Inc)</t>
  </si>
  <si>
    <t>Synchronous Read, Async Connect (Default is Async Read and Async Connect)</t>
  </si>
  <si>
    <t>Publish Raw data to MSMQ (You can change the QueueName in RTD.cs.  See CLR functions to save to SQL tables (remind me if I forget to publish them)</t>
  </si>
  <si>
    <t>LogLevels bitmasks (see ModbusExcel\NLog.config for output file name)</t>
  </si>
  <si>
    <t>LogLevel</t>
  </si>
  <si>
    <t>1=File Log Enabled, 0=File Log Disabled</t>
  </si>
  <si>
    <t>Version</t>
  </si>
  <si>
    <t>FCID</t>
  </si>
  <si>
    <t>701Start</t>
  </si>
  <si>
    <t>702Start</t>
  </si>
  <si>
    <t>703Start</t>
  </si>
  <si>
    <t>704Start</t>
  </si>
  <si>
    <t>705Start</t>
  </si>
  <si>
    <t>706Start</t>
  </si>
  <si>
    <t>707Start</t>
  </si>
  <si>
    <t>708Start</t>
  </si>
  <si>
    <t>709Start(Alarms)</t>
  </si>
  <si>
    <t>710Start(Alarms)</t>
  </si>
  <si>
    <t>Batch</t>
  </si>
  <si>
    <t>Daily</t>
  </si>
  <si>
    <t>RDA Values</t>
  </si>
  <si>
    <t>Record#</t>
  </si>
  <si>
    <t>n.n.n.n</t>
  </si>
  <si>
    <t>Copy previous row down and change IP address to add more…</t>
  </si>
  <si>
    <t>Decoded RDA Map Registers</t>
  </si>
  <si>
    <t>Non-Zero RDA Register List</t>
  </si>
  <si>
    <t>RDA Maps (Enable HEX Output LogLevel flag)</t>
  </si>
  <si>
    <t xml:space="preserve">                  Click Red circle to start. Click Green circle to stop.</t>
  </si>
  <si>
    <t>Usage:[=RTD("modbusexcel.rtd",,HOST,UNIT,IF(ENABLE="n","D",MODICON),ADDRESS,LENGTH,PERxxxx,PORT)]</t>
  </si>
  <si>
    <t>PerDevice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</si>
</sst>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5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</patternFill>
    </fill>
  </fills>
  <borders count="17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3" borderId="3" applyNumberFormat="0" applyFont="0" applyAlignment="0" applyProtection="0"/>
    <xf numFmtId="0" fontId="8" fillId="6" borderId="5" applyNumberFormat="0" applyAlignment="0" applyProtection="0"/>
    <xf numFmtId="0" fontId="14" fillId="11" borderId="0" applyNumberFormat="0" applyBorder="0" applyAlignment="0" applyProtection="0"/>
    <xf numFmtId="0" fontId="15" fillId="6" borderId="11" applyNumberFormat="0" applyAlignment="0" applyProtection="0"/>
    <xf numFmtId="0" fontId="13" fillId="3" borderId="3" applyNumberFormat="0" applyFont="0" applyAlignment="0" applyProtection="0"/>
  </cellStyleXfs>
  <cellXfs count="59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1" fontId="0" fillId="2" borderId="0" xfId="0" quotePrefix="1" applyNumberFormat="1" applyFill="1"/>
    <xf numFmtId="0" fontId="0" fillId="0" borderId="0" xfId="0"/>
    <xf numFmtId="0" fontId="3" fillId="5" borderId="2" xfId="0" applyFont="1" applyFill="1" applyBorder="1"/>
    <xf numFmtId="0" fontId="7" fillId="0" borderId="1" xfId="0" applyFont="1" applyBorder="1"/>
    <xf numFmtId="0" fontId="3" fillId="0" borderId="2" xfId="0" applyFont="1" applyBorder="1" applyAlignment="1">
      <alignment horizontal="right"/>
    </xf>
    <xf numFmtId="0" fontId="3" fillId="0" borderId="0" xfId="0" quotePrefix="1" applyFont="1"/>
    <xf numFmtId="0" fontId="3" fillId="0" borderId="6" xfId="0" applyFont="1" applyBorder="1" applyAlignment="1">
      <alignment horizontal="right"/>
    </xf>
    <xf numFmtId="0" fontId="5" fillId="4" borderId="8" xfId="0" applyFont="1" applyFill="1" applyBorder="1" applyAlignment="1">
      <alignment horizontal="left"/>
    </xf>
    <xf numFmtId="0" fontId="8" fillId="6" borderId="2" xfId="2" applyBorder="1" applyAlignment="1">
      <alignment horizontal="left"/>
    </xf>
    <xf numFmtId="0" fontId="9" fillId="0" borderId="0" xfId="0" applyFont="1" applyAlignment="1">
      <alignment vertical="center"/>
    </xf>
    <xf numFmtId="0" fontId="6" fillId="0" borderId="0" xfId="0" applyFont="1"/>
    <xf numFmtId="0" fontId="0" fillId="0" borderId="0" xfId="0" applyFill="1"/>
    <xf numFmtId="0" fontId="0" fillId="7" borderId="9" xfId="0" applyFill="1" applyBorder="1"/>
    <xf numFmtId="0" fontId="0" fillId="8" borderId="0" xfId="0" applyFill="1"/>
    <xf numFmtId="0" fontId="10" fillId="0" borderId="0" xfId="0" applyFont="1"/>
    <xf numFmtId="0" fontId="10" fillId="3" borderId="3" xfId="1" applyFont="1"/>
    <xf numFmtId="0" fontId="3" fillId="8" borderId="2" xfId="0" applyFont="1" applyFill="1" applyBorder="1" applyAlignment="1">
      <alignment horizontal="right"/>
    </xf>
    <xf numFmtId="0" fontId="0" fillId="5" borderId="0" xfId="0" applyFill="1"/>
    <xf numFmtId="0" fontId="0" fillId="9" borderId="0" xfId="0" applyFill="1"/>
    <xf numFmtId="0" fontId="0" fillId="10" borderId="0" xfId="0" applyFill="1"/>
    <xf numFmtId="0" fontId="5" fillId="4" borderId="4" xfId="0" applyFont="1" applyFill="1" applyBorder="1" applyAlignment="1">
      <alignment horizontal="right"/>
    </xf>
    <xf numFmtId="0" fontId="5" fillId="4" borderId="4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" fillId="0" borderId="4" xfId="0" applyFont="1" applyFill="1" applyBorder="1" applyAlignment="1">
      <alignment horizontal="right"/>
    </xf>
    <xf numFmtId="0" fontId="3" fillId="0" borderId="0" xfId="0" applyFont="1"/>
    <xf numFmtId="0" fontId="3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12" fillId="0" borderId="2" xfId="0" quotePrefix="1" applyNumberFormat="1" applyFont="1" applyBorder="1" applyAlignment="1">
      <alignment horizontal="left"/>
    </xf>
    <xf numFmtId="0" fontId="8" fillId="6" borderId="2" xfId="2" applyBorder="1"/>
    <xf numFmtId="0" fontId="3" fillId="0" borderId="0" xfId="0" applyFont="1" applyAlignment="1">
      <alignment horizontal="right"/>
    </xf>
    <xf numFmtId="0" fontId="12" fillId="0" borderId="12" xfId="0" quotePrefix="1" applyNumberFormat="1" applyFont="1" applyBorder="1" applyAlignment="1">
      <alignment horizontal="left"/>
    </xf>
    <xf numFmtId="0" fontId="11" fillId="0" borderId="9" xfId="0" applyFont="1" applyBorder="1"/>
    <xf numFmtId="0" fontId="16" fillId="0" borderId="0" xfId="0" applyFont="1"/>
    <xf numFmtId="0" fontId="14" fillId="11" borderId="16" xfId="3" applyNumberFormat="1" applyBorder="1" applyAlignment="1">
      <alignment horizontal="left"/>
    </xf>
    <xf numFmtId="0" fontId="14" fillId="11" borderId="16" xfId="3" applyBorder="1" applyAlignment="1">
      <alignment horizontal="left"/>
    </xf>
    <xf numFmtId="0" fontId="7" fillId="3" borderId="3" xfId="5" applyNumberFormat="1" applyFont="1" applyAlignment="1">
      <alignment horizontal="left"/>
    </xf>
    <xf numFmtId="0" fontId="7" fillId="3" borderId="3" xfId="5" applyFont="1" applyAlignment="1">
      <alignment horizontal="left"/>
    </xf>
    <xf numFmtId="0" fontId="8" fillId="6" borderId="5" xfId="2" applyNumberFormat="1" applyAlignment="1">
      <alignment horizontal="left"/>
    </xf>
    <xf numFmtId="0" fontId="8" fillId="6" borderId="5" xfId="2" applyAlignment="1">
      <alignment horizontal="left"/>
    </xf>
    <xf numFmtId="0" fontId="15" fillId="6" borderId="11" xfId="4" applyAlignment="1">
      <alignment horizontal="left"/>
    </xf>
    <xf numFmtId="0" fontId="6" fillId="0" borderId="7" xfId="0" applyFont="1" applyBorder="1" applyAlignment="1">
      <alignment horizontal="left"/>
    </xf>
    <xf numFmtId="0" fontId="6" fillId="0" borderId="7" xfId="0" applyFont="1" applyBorder="1"/>
    <xf numFmtId="0" fontId="17" fillId="0" borderId="0" xfId="0" quotePrefix="1" applyFont="1"/>
    <xf numFmtId="0" fontId="8" fillId="6" borderId="5" xfId="2" applyNumberFormat="1" applyAlignment="1">
      <alignment horizontal="center"/>
    </xf>
    <xf numFmtId="0" fontId="8" fillId="6" borderId="5" xfId="2" applyAlignment="1">
      <alignment horizontal="center"/>
    </xf>
    <xf numFmtId="0" fontId="15" fillId="6" borderId="11" xfId="4" applyAlignment="1">
      <alignment horizontal="center"/>
    </xf>
    <xf numFmtId="0" fontId="14" fillId="11" borderId="13" xfId="3" applyNumberFormat="1" applyBorder="1" applyAlignment="1">
      <alignment horizontal="center"/>
    </xf>
    <xf numFmtId="0" fontId="14" fillId="11" borderId="14" xfId="3" applyBorder="1" applyAlignment="1">
      <alignment horizontal="center"/>
    </xf>
    <xf numFmtId="0" fontId="14" fillId="11" borderId="15" xfId="3" applyBorder="1" applyAlignment="1">
      <alignment horizontal="center"/>
    </xf>
    <xf numFmtId="0" fontId="7" fillId="3" borderId="3" xfId="5" applyNumberFormat="1" applyFont="1" applyAlignment="1">
      <alignment horizontal="center"/>
    </xf>
    <xf numFmtId="0" fontId="7" fillId="3" borderId="3" xfId="5" applyFont="1" applyAlignment="1">
      <alignment horizontal="center"/>
    </xf>
    <xf numFmtId="0" fontId="1" fillId="0" borderId="7" xfId="0" applyFont="1" applyBorder="1" applyAlignment="1">
      <alignment horizontal="right"/>
    </xf>
    <xf numFmtId="0" fontId="0" fillId="0" borderId="7" xfId="0" applyBorder="1" applyAlignment="1">
      <alignment horizontal="right"/>
    </xf>
    <xf numFmtId="0" fontId="3" fillId="2" borderId="6" xfId="0" applyFont="1" applyFill="1" applyBorder="1" applyAlignment="1"/>
    <xf numFmtId="0" fontId="0" fillId="0" borderId="10" xfId="0" applyBorder="1" applyAlignment="1"/>
    <xf numFmtId="0" fontId="3" fillId="5" borderId="6" xfId="0" applyFont="1" applyFill="1" applyBorder="1" applyAlignment="1"/>
  </cellXfs>
  <cellStyles count="6">
    <cellStyle name="Calculation" xfId="2" builtinId="22"/>
    <cellStyle name="Good" xfId="3" builtinId="26"/>
    <cellStyle name="Normal" xfId="0" builtinId="0"/>
    <cellStyle name="Note" xfId="5" builtinId="10"/>
    <cellStyle name="Note 2" xfId="1"/>
    <cellStyle name="Output" xfId="4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dbusexcel.rtd">
      <tp>
        <v>18</v>
        <stp/>
        <stp>ConnectionCount</stp>
        <stp/>
        <stp/>
        <stp/>
        <stp/>
        <stp/>
        <tr r="C13" s="1"/>
      </tp>
      <tp>
        <v>-1</v>
        <stp/>
        <stp>minconnections</stp>
        <stp>-1</stp>
        <stp/>
        <stp/>
        <stp/>
        <tr r="C7" s="1"/>
      </tp>
      <tp t="s">
        <v>False</v>
        <stp/>
        <stp>DeleteCachedValues</stp>
        <stp>false</stp>
        <stp/>
        <stp/>
        <stp/>
        <tr r="C5" s="1"/>
      </tp>
      <tp>
        <v>180000</v>
        <stp/>
        <stp>SocketTimeout</stp>
        <stp>180000</stp>
        <stp/>
        <stp/>
        <stp/>
        <tr r="C4" s="1"/>
      </tp>
      <tp>
        <v>0</v>
        <stp/>
        <stp>ConnectionPending</stp>
        <stp/>
        <stp/>
        <stp/>
        <stp/>
        <stp/>
        <tr r="C12" s="1"/>
      </tp>
      <tp>
        <v>-1</v>
        <stp/>
        <stp>maxqueue</stp>
        <stp>-1</stp>
        <stp/>
        <stp/>
        <stp/>
        <tr r="C8" s="1"/>
      </tp>
      <tp>
        <v>2000</v>
        <stp/>
        <stp>ExcelUpdateRate</stp>
        <stp>2000</stp>
        <stp/>
        <stp/>
        <stp/>
        <tr r="C3" s="1"/>
      </tp>
      <tp>
        <v>300000</v>
        <stp/>
        <stp>maxread</stp>
        <stp>300000</stp>
        <stp/>
        <stp/>
        <stp/>
        <tr r="C6" s="1"/>
      </tp>
      <tp t="s">
        <v>?</v>
        <stp/>
        <stp>127.0.0.1</stp>
        <stp>1</stp>
        <stp>N</stp>
        <stp>13580</stp>
        <stp>32</stp>
        <stp>PerDevice</stp>
        <stp>1502</stp>
        <tr r="I17" s="1"/>
      </tp>
      <tp t="s">
        <v>?</v>
        <stp/>
        <stp>127.0.0.1</stp>
        <stp>1</stp>
        <stp>N</stp>
        <stp>13500</stp>
        <stp>32</stp>
        <stp>PerDevice</stp>
        <stp>1502</stp>
        <tr r="G17" s="1"/>
      </tp>
      <tp t="s">
        <v>?</v>
        <stp/>
        <stp>127.0.0.1</stp>
        <stp>1</stp>
        <stp>N</stp>
        <stp>13540</stp>
        <stp>32</stp>
        <stp>PerDevice</stp>
        <stp>1502</stp>
        <tr r="H17" s="1"/>
      </tp>
      <tp t="s">
        <v>?</v>
        <stp/>
        <stp>127.0.0.1</stp>
        <stp>1</stp>
        <stp>N</stp>
        <stp>13780</stp>
        <stp>32</stp>
        <stp>PerDevice</stp>
        <stp>1502</stp>
        <tr r="N17" s="1"/>
      </tp>
      <tp t="s">
        <v>?</v>
        <stp/>
        <stp>127.0.0.1</stp>
        <stp>1</stp>
        <stp>N</stp>
        <stp>13700</stp>
        <stp>32</stp>
        <stp>PerDevice</stp>
        <stp>1502</stp>
        <tr r="L17" s="1"/>
      </tp>
      <tp t="s">
        <v>?</v>
        <stp/>
        <stp>127.0.0.1</stp>
        <stp>1</stp>
        <stp>N</stp>
        <stp>13740</stp>
        <stp>32</stp>
        <stp>PerDevice</stp>
        <stp>1502</stp>
        <tr r="M17" s="1"/>
      </tp>
      <tp t="s">
        <v>?</v>
        <stp/>
        <stp>127.0.0.1</stp>
        <stp>1</stp>
        <stp>N</stp>
        <stp>13620</stp>
        <stp>32</stp>
        <stp>PerDevice</stp>
        <stp>1502</stp>
        <tr r="J17" s="1"/>
      </tp>
      <tp t="s">
        <v>?</v>
        <stp/>
        <stp>127.0.0.1</stp>
        <stp>1</stp>
        <stp>N</stp>
        <stp>13660</stp>
        <stp>32</stp>
        <stp>PerDevice</stp>
        <stp>1502</stp>
        <tr r="K17" s="1"/>
      </tp>
      <tp>
        <v>0</v>
        <stp/>
        <stp>simulate</stp>
        <stp>0</stp>
        <stp/>
        <stp/>
        <stp/>
        <tr r="C9" s="1"/>
      </tp>
      <tp t="s">
        <v>?</v>
        <stp/>
        <stp>127.0.0.1</stp>
        <stp>1</stp>
        <stp>N</stp>
        <stp>723</stp>
        <stp>1</stp>
        <stp>PerDevice</stp>
        <stp>1502</stp>
        <tr r="Q17" s="1"/>
      </tp>
      <tp t="s">
        <v>?</v>
        <stp/>
        <stp>127.0.0.1</stp>
        <stp>1</stp>
        <stp>N</stp>
        <stp>722</stp>
        <stp>1</stp>
        <stp>PerDevice</stp>
        <stp>1502</stp>
        <tr r="P17" s="1"/>
      </tp>
      <tp t="s">
        <v>?</v>
        <stp/>
        <stp>127.0.0.1</stp>
        <stp>1</stp>
        <stp>N</stp>
        <stp>721</stp>
        <stp>1</stp>
        <stp>PerDevice</stp>
        <stp>1502</stp>
        <tr r="O17" s="1"/>
      </tp>
      <tp t="s">
        <v>?</v>
        <stp/>
        <stp>127.0.0.1</stp>
        <stp>1</stp>
        <stp>N</stp>
        <stp>727</stp>
        <stp>1</stp>
        <stp>PerDevice</stp>
        <stp>1502</stp>
        <tr r="U17" s="1"/>
      </tp>
      <tp t="s">
        <v>?</v>
        <stp/>
        <stp>127.0.0.1</stp>
        <stp>1</stp>
        <stp>N</stp>
        <stp>726</stp>
        <stp>1</stp>
        <stp>PerDevice</stp>
        <stp>1502</stp>
        <tr r="T17" s="1"/>
      </tp>
      <tp t="s">
        <v>?</v>
        <stp/>
        <stp>127.0.0.1</stp>
        <stp>1</stp>
        <stp>N</stp>
        <stp>725</stp>
        <stp>1</stp>
        <stp>PerDevice</stp>
        <stp>1502</stp>
        <tr r="S17" s="1"/>
      </tp>
      <tp t="s">
        <v>?</v>
        <stp/>
        <stp>127.0.0.1</stp>
        <stp>1</stp>
        <stp>N</stp>
        <stp>724</stp>
        <stp>1</stp>
        <stp>PerDevice</stp>
        <stp>1502</stp>
        <tr r="R17" s="1"/>
      </tp>
      <tp t="s">
        <v>?</v>
        <stp/>
        <stp>127.0.0.1</stp>
        <stp>1</stp>
        <stp>N</stp>
        <stp>728</stp>
        <stp>1</stp>
        <stp>PerDevice</stp>
        <stp>1502</stp>
        <tr r="V17" s="1"/>
      </tp>
      <tp>
        <v>1000</v>
        <stp/>
        <stp>PollRate</stp>
        <stp>1000</stp>
        <stp/>
        <stp/>
        <stp/>
        <tr r="C2" s="1"/>
      </tp>
      <tp t="s">
        <v>3492/3492</v>
        <stp/>
        <stp>SendReceiveCount</stp>
        <stp/>
        <stp/>
        <stp/>
        <stp/>
        <stp/>
        <tr r="C14" s="1"/>
      </tp>
      <tp>
        <v>18</v>
        <stp/>
        <stp>TopicCount</stp>
        <stp/>
        <stp/>
        <stp/>
        <stp/>
        <stp/>
        <tr r="C10" s="1"/>
      </tp>
      <tp t="s">
        <v>?</v>
        <stp/>
        <stp>127.0.0.1</stp>
        <stp>1</stp>
        <stp>N</stp>
        <stp>4836</stp>
        <stp>1</stp>
        <stp>PerDevice</stp>
        <stp>1502</stp>
        <tr r="F17" s="1"/>
      </tp>
      <tp t="s">
        <v>?</v>
        <stp/>
        <stp>127.0.0.1</stp>
        <stp>1</stp>
        <stp>N</stp>
        <stp>4849</stp>
        <stp>1</stp>
        <stp>PerDevice</stp>
        <stp>1502</stp>
        <tr r="E17" s="1"/>
      </tp>
      <tp>
        <v>0</v>
        <stp/>
        <stp>ReadPending</stp>
        <stp/>
        <stp/>
        <stp/>
        <stp/>
        <stp/>
        <tr r="C11" s="1"/>
      </tp>
      <tp>
        <v>16384</v>
        <stp/>
        <stp>DebugLevel</stp>
        <stp>16384</stp>
        <stp/>
        <stp/>
        <stp/>
        <stp/>
        <tr r="C1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KSelvia\AppData\Local\Temp\DatabaseTableEdit_32x32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36244</xdr:rowOff>
    </xdr:from>
    <xdr:to>
      <xdr:col>0</xdr:col>
      <xdr:colOff>422394</xdr:colOff>
      <xdr:row>0</xdr:row>
      <xdr:rowOff>322866</xdr:rowOff>
    </xdr:to>
    <xdr:grpSp>
      <xdr:nvGrpSpPr>
        <xdr:cNvPr id="10" name="Group 9"/>
        <xdr:cNvGrpSpPr/>
      </xdr:nvGrpSpPr>
      <xdr:grpSpPr>
        <a:xfrm>
          <a:off x="142875" y="36244"/>
          <a:ext cx="279519" cy="286622"/>
          <a:chOff x="142875" y="36244"/>
          <a:chExt cx="279519" cy="286622"/>
        </a:xfrm>
      </xdr:grpSpPr>
      <xdr:pic macro="[0]!RTDSErverStopped_Click">
        <xdr:nvPicPr>
          <xdr:cNvPr id="3" name="RTDSErverStopped" descr="AvocadoGreen.png"/>
          <xdr:cNvPicPr>
            <a:picLocks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rgbClr val="FF0000">
                <a:tint val="45000"/>
                <a:satMod val="400000"/>
              </a:srgbClr>
            </a:duotone>
          </a:blip>
          <a:stretch>
            <a:fillRect/>
          </a:stretch>
        </xdr:blipFill>
        <xdr:spPr>
          <a:xfrm>
            <a:off x="148074" y="36244"/>
            <a:ext cx="274320" cy="274320"/>
          </a:xfrm>
          <a:prstGeom prst="rect">
            <a:avLst/>
          </a:prstGeom>
        </xdr:spPr>
      </xdr:pic>
      <xdr:grpSp>
        <xdr:nvGrpSpPr>
          <xdr:cNvPr id="6" name="Group 5"/>
          <xdr:cNvGrpSpPr/>
        </xdr:nvGrpSpPr>
        <xdr:grpSpPr>
          <a:xfrm>
            <a:off x="142875" y="47625"/>
            <a:ext cx="277019" cy="275241"/>
            <a:chOff x="142875" y="66675"/>
            <a:chExt cx="277019" cy="275241"/>
          </a:xfrm>
        </xdr:grpSpPr>
        <xdr:pic macro="[0]!RTDServerStarted_Click">
          <xdr:nvPicPr>
            <xdr:cNvPr id="7" name="RTDSErverStopp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rgbClr val="FF0000">
                  <a:tint val="45000"/>
                  <a:satMod val="400000"/>
                </a:srgbClr>
              </a:duotone>
            </a:blip>
            <a:stretch>
              <a:fillRect/>
            </a:stretch>
          </xdr:blipFill>
          <xdr:spPr>
            <a:xfrm>
              <a:off x="142875" y="66675"/>
              <a:ext cx="277019" cy="275241"/>
            </a:xfrm>
            <a:prstGeom prst="rect">
              <a:avLst/>
            </a:prstGeom>
          </xdr:spPr>
        </xdr:pic>
        <xdr:pic macro="[0]!RTDServerStarted_Click">
          <xdr:nvPicPr>
            <xdr:cNvPr id="8" name="RTDServerStart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142875" y="66675"/>
              <a:ext cx="273107" cy="27524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1333500</xdr:colOff>
      <xdr:row>0</xdr:row>
      <xdr:rowOff>0</xdr:rowOff>
    </xdr:from>
    <xdr:to>
      <xdr:col>1</xdr:col>
      <xdr:colOff>3969</xdr:colOff>
      <xdr:row>0</xdr:row>
      <xdr:rowOff>190500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333500" y="0"/>
          <a:ext cx="3969" cy="190500"/>
        </a:xfrm>
        <a:prstGeom prst="rect">
          <a:avLst/>
        </a:prstGeom>
      </xdr:spPr>
    </xdr:pic>
    <xdr:clientData/>
  </xdr:twoCellAnchor>
  <xdr:twoCellAnchor>
    <xdr:from>
      <xdr:col>0</xdr:col>
      <xdr:colOff>443544</xdr:colOff>
      <xdr:row>0</xdr:row>
      <xdr:rowOff>64819</xdr:rowOff>
    </xdr:from>
    <xdr:to>
      <xdr:col>0</xdr:col>
      <xdr:colOff>743962</xdr:colOff>
      <xdr:row>0</xdr:row>
      <xdr:rowOff>315197</xdr:rowOff>
    </xdr:to>
    <xdr:pic macro="[0]!RTDSErverStopped_Click">
      <xdr:nvPicPr>
        <xdr:cNvPr id="4" name="RTDServerStarted" descr="AvocadoGreen.png" hidden="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3544" y="64819"/>
          <a:ext cx="300418" cy="250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8"/>
  <sheetViews>
    <sheetView tabSelected="1" workbookViewId="0">
      <selection activeCell="C3" sqref="C3"/>
    </sheetView>
  </sheetViews>
  <sheetFormatPr defaultRowHeight="15" x14ac:dyDescent="0.25"/>
  <cols>
    <col min="1" max="1" width="13.28515625" customWidth="1"/>
    <col min="2" max="2" width="28.28515625" style="4" customWidth="1"/>
    <col min="3" max="3" width="12" customWidth="1"/>
    <col min="4" max="4" width="13.7109375" customWidth="1"/>
    <col min="5" max="6" width="9" style="13" bestFit="1" customWidth="1"/>
    <col min="7" max="8" width="6" style="13" customWidth="1"/>
    <col min="9" max="10" width="5" style="13" customWidth="1"/>
    <col min="11" max="11" width="5.5703125" style="13" customWidth="1"/>
    <col min="12" max="12" width="5" style="13" customWidth="1"/>
    <col min="13" max="13" width="5.42578125" style="13" customWidth="1"/>
    <col min="14" max="14" width="5.5703125" style="13" customWidth="1"/>
    <col min="15" max="15" width="5.5703125" customWidth="1"/>
    <col min="16" max="16" width="5.42578125" customWidth="1"/>
    <col min="17" max="17" width="6.42578125" customWidth="1"/>
    <col min="18" max="18" width="5.42578125" customWidth="1"/>
    <col min="19" max="19" width="6.5703125" customWidth="1"/>
    <col min="20" max="21" width="5.42578125" customWidth="1"/>
    <col min="22" max="22" width="5.140625" customWidth="1"/>
    <col min="23" max="23" width="8.28515625" customWidth="1"/>
  </cols>
  <sheetData>
    <row r="1" spans="1:39" ht="33.75" customHeight="1" x14ac:dyDescent="0.25">
      <c r="A1" s="54" t="s">
        <v>63</v>
      </c>
      <c r="B1" s="55"/>
      <c r="C1" s="2" t="s">
        <v>15</v>
      </c>
      <c r="D1" s="1"/>
      <c r="I1" s="45" t="s">
        <v>64</v>
      </c>
    </row>
    <row r="2" spans="1:39" x14ac:dyDescent="0.25">
      <c r="A2" s="5" t="s">
        <v>4</v>
      </c>
      <c r="B2" s="5"/>
      <c r="C2" s="7">
        <f>RTD("modbusexcel.rtd",,"PollRate","1000",,,)</f>
        <v>1000</v>
      </c>
      <c r="D2" s="10" t="s">
        <v>11</v>
      </c>
      <c r="E2" s="23" t="s">
        <v>42</v>
      </c>
      <c r="F2" s="23" t="s">
        <v>43</v>
      </c>
      <c r="G2" s="24" t="s">
        <v>44</v>
      </c>
      <c r="H2" s="24" t="s">
        <v>45</v>
      </c>
      <c r="I2" s="24" t="s">
        <v>46</v>
      </c>
      <c r="J2" s="24" t="s">
        <v>47</v>
      </c>
      <c r="K2" s="24" t="s">
        <v>48</v>
      </c>
      <c r="L2" s="24" t="s">
        <v>49</v>
      </c>
      <c r="M2" s="24" t="s">
        <v>50</v>
      </c>
      <c r="N2" s="24" t="s">
        <v>51</v>
      </c>
      <c r="O2" s="24" t="s">
        <v>52</v>
      </c>
      <c r="P2" s="24" t="s">
        <v>53</v>
      </c>
    </row>
    <row r="3" spans="1:39" x14ac:dyDescent="0.25">
      <c r="A3" s="58" t="s">
        <v>3</v>
      </c>
      <c r="B3" s="57"/>
      <c r="C3" s="7">
        <f>RTD("modbusexcel.rtd",,"ExcelUpdateRate","2000",,,)</f>
        <v>2000</v>
      </c>
      <c r="D3" s="11" t="s">
        <v>65</v>
      </c>
      <c r="E3" s="26">
        <v>4849</v>
      </c>
      <c r="F3" s="26">
        <v>4836</v>
      </c>
      <c r="G3" s="27">
        <v>13500</v>
      </c>
      <c r="H3" s="27">
        <v>13540</v>
      </c>
      <c r="I3" s="28">
        <v>13580</v>
      </c>
      <c r="J3" s="28">
        <v>13620</v>
      </c>
      <c r="K3" s="28">
        <v>13660</v>
      </c>
      <c r="L3" s="28">
        <v>13700</v>
      </c>
      <c r="M3" s="28">
        <v>13740</v>
      </c>
      <c r="N3" s="28">
        <v>13780</v>
      </c>
      <c r="O3" s="28">
        <v>13820</v>
      </c>
      <c r="P3" s="28">
        <v>13860</v>
      </c>
    </row>
    <row r="4" spans="1:39" x14ac:dyDescent="0.25">
      <c r="A4" s="58" t="s">
        <v>9</v>
      </c>
      <c r="B4" s="57"/>
      <c r="C4" s="7">
        <f>RTD("modbusexcel.rtd",,"SocketTimeout","180000",,,)</f>
        <v>180000</v>
      </c>
      <c r="D4" s="31" t="s">
        <v>12</v>
      </c>
      <c r="E4" s="29" t="s">
        <v>10</v>
      </c>
      <c r="F4" s="29" t="s">
        <v>10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  <c r="N4" s="29" t="s">
        <v>10</v>
      </c>
      <c r="O4" s="29" t="s">
        <v>10</v>
      </c>
      <c r="P4" s="29" t="s">
        <v>10</v>
      </c>
    </row>
    <row r="5" spans="1:39" x14ac:dyDescent="0.25">
      <c r="A5" s="5" t="s">
        <v>5</v>
      </c>
      <c r="B5" s="5"/>
      <c r="C5" s="7" t="str">
        <f>RTD("modbusexcel.rtd",,"DeleteCachedValues","false",,,)</f>
        <v>False</v>
      </c>
      <c r="D5" s="31" t="s">
        <v>13</v>
      </c>
      <c r="E5" s="29">
        <v>1</v>
      </c>
      <c r="F5" s="29">
        <v>1</v>
      </c>
      <c r="G5" s="29">
        <v>32</v>
      </c>
      <c r="H5" s="29">
        <v>32</v>
      </c>
      <c r="I5" s="29">
        <v>32</v>
      </c>
      <c r="J5" s="29">
        <v>32</v>
      </c>
      <c r="K5" s="29">
        <v>32</v>
      </c>
      <c r="L5" s="29">
        <v>32</v>
      </c>
      <c r="M5" s="29">
        <v>32</v>
      </c>
      <c r="N5" s="29">
        <v>32</v>
      </c>
      <c r="O5" s="29">
        <v>32</v>
      </c>
      <c r="P5" s="29">
        <v>32</v>
      </c>
    </row>
    <row r="6" spans="1:39" s="4" customFormat="1" x14ac:dyDescent="0.25">
      <c r="A6" s="58" t="s">
        <v>34</v>
      </c>
      <c r="B6" s="57"/>
      <c r="C6" s="9">
        <f>RTD("modbusexcel.rtd",,"maxread","300000",,,)</f>
        <v>300000</v>
      </c>
      <c r="E6" s="32"/>
      <c r="F6" s="32"/>
      <c r="G6" s="32">
        <v>721</v>
      </c>
      <c r="H6" s="32">
        <v>722</v>
      </c>
      <c r="I6" s="32">
        <v>723</v>
      </c>
      <c r="J6" s="32">
        <v>724</v>
      </c>
      <c r="K6" s="32">
        <v>725</v>
      </c>
      <c r="L6" s="32">
        <v>726</v>
      </c>
      <c r="M6" s="32">
        <v>727</v>
      </c>
      <c r="N6" s="32">
        <v>728</v>
      </c>
      <c r="O6" s="32">
        <v>729</v>
      </c>
      <c r="P6" s="32">
        <v>730</v>
      </c>
    </row>
    <row r="7" spans="1:39" s="4" customFormat="1" x14ac:dyDescent="0.25">
      <c r="A7" s="58" t="s">
        <v>35</v>
      </c>
      <c r="B7" s="57"/>
      <c r="C7" s="9">
        <f>RTD("modbusexcel.rtd",,"minconnections","-1",,,)</f>
        <v>-1</v>
      </c>
      <c r="E7" s="27"/>
    </row>
    <row r="8" spans="1:39" s="4" customFormat="1" x14ac:dyDescent="0.25">
      <c r="A8" s="58" t="s">
        <v>32</v>
      </c>
      <c r="B8" s="57"/>
      <c r="C8" s="9">
        <f>RTD("modbusexcel.rtd",,"maxqueue","-1",,,)</f>
        <v>-1</v>
      </c>
    </row>
    <row r="9" spans="1:39" s="4" customFormat="1" x14ac:dyDescent="0.25">
      <c r="A9" s="58" t="s">
        <v>36</v>
      </c>
      <c r="B9" s="57"/>
      <c r="C9" s="9">
        <f>RTD("modbusexcel.rtd",,"simulate","0",,,)</f>
        <v>0</v>
      </c>
    </row>
    <row r="10" spans="1:39" x14ac:dyDescent="0.25">
      <c r="A10" s="56" t="s">
        <v>6</v>
      </c>
      <c r="B10" s="57"/>
      <c r="C10" s="9">
        <f>RTD("modbusexcel.rtd",,"TopicCount",,,,,)</f>
        <v>18</v>
      </c>
    </row>
    <row r="11" spans="1:39" s="4" customFormat="1" x14ac:dyDescent="0.25">
      <c r="A11" s="56" t="s">
        <v>33</v>
      </c>
      <c r="B11" s="57"/>
      <c r="C11" s="9">
        <f>RTD("modbusexcel.rtd",,"ReadPending",,,,,)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39" s="4" customFormat="1" x14ac:dyDescent="0.25">
      <c r="A12" s="56" t="s">
        <v>31</v>
      </c>
      <c r="B12" s="57"/>
      <c r="C12" s="9">
        <f>RTD("modbusexcel.rtd",,"ConnectionPending",,,,,)</f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39" x14ac:dyDescent="0.25">
      <c r="A13" s="56" t="s">
        <v>7</v>
      </c>
      <c r="B13" s="57"/>
      <c r="C13" s="9">
        <f>RTD("modbusexcel.rtd",,"ConnectionCount",,,,,)</f>
        <v>18</v>
      </c>
      <c r="D13" s="4"/>
    </row>
    <row r="14" spans="1:39" ht="15.75" thickBot="1" x14ac:dyDescent="0.3">
      <c r="A14" s="56" t="s">
        <v>8</v>
      </c>
      <c r="B14" s="57"/>
      <c r="C14" s="9" t="str">
        <f>RTD("modbusexcel.rtd",,"SendReceiveCount",,,,,)</f>
        <v>3492/3492</v>
      </c>
      <c r="D14" s="4"/>
      <c r="E14" s="27"/>
      <c r="F14" s="27"/>
      <c r="G14" s="28"/>
      <c r="H14" s="28"/>
      <c r="I14" s="28"/>
      <c r="J14" s="28"/>
      <c r="K14" s="28"/>
      <c r="L14" s="25"/>
      <c r="M14" s="25"/>
      <c r="N14" s="25"/>
      <c r="O14" s="48" t="s">
        <v>56</v>
      </c>
      <c r="P14" s="48"/>
      <c r="Q14" s="48"/>
      <c r="R14" s="48"/>
      <c r="S14" s="48"/>
      <c r="T14" s="48"/>
      <c r="U14" s="48"/>
      <c r="V14" s="48"/>
      <c r="W14" s="4"/>
    </row>
    <row r="15" spans="1:39" ht="15.75" thickBot="1" x14ac:dyDescent="0.3">
      <c r="A15" s="56" t="s">
        <v>40</v>
      </c>
      <c r="B15" s="57"/>
      <c r="C15" s="19">
        <f>RTD("modbusexcel.rtd",,"DebugLevel",LogLevel,,,,)</f>
        <v>16384</v>
      </c>
      <c r="D15" s="8"/>
      <c r="E15" s="27"/>
      <c r="F15" s="27"/>
      <c r="G15" s="46" t="s">
        <v>62</v>
      </c>
      <c r="H15" s="47"/>
      <c r="I15" s="47"/>
      <c r="J15" s="47"/>
      <c r="K15" s="47"/>
      <c r="L15" s="47"/>
      <c r="M15" s="47"/>
      <c r="N15" s="47"/>
      <c r="O15" s="48" t="s">
        <v>54</v>
      </c>
      <c r="P15" s="48"/>
      <c r="Q15" s="48"/>
      <c r="R15" s="48"/>
      <c r="S15" s="48" t="s">
        <v>55</v>
      </c>
      <c r="T15" s="48"/>
      <c r="U15" s="48"/>
      <c r="V15" s="48"/>
      <c r="W15" s="4"/>
      <c r="X15" s="49" t="s">
        <v>60</v>
      </c>
      <c r="Y15" s="50"/>
      <c r="Z15" s="50"/>
      <c r="AA15" s="50"/>
      <c r="AB15" s="50"/>
      <c r="AC15" s="50"/>
      <c r="AD15" s="50"/>
      <c r="AE15" s="51"/>
      <c r="AF15" s="52" t="s">
        <v>61</v>
      </c>
      <c r="AG15" s="53"/>
      <c r="AH15" s="53"/>
      <c r="AI15" s="53"/>
      <c r="AJ15" s="53"/>
      <c r="AK15" s="53"/>
      <c r="AL15" s="53"/>
      <c r="AM15" s="53"/>
    </row>
    <row r="16" spans="1:39" ht="15" customHeight="1" thickBot="1" x14ac:dyDescent="0.3">
      <c r="A16" s="6" t="s">
        <v>0</v>
      </c>
      <c r="B16" s="6" t="s">
        <v>30</v>
      </c>
      <c r="C16" s="6" t="s">
        <v>1</v>
      </c>
      <c r="D16" s="6" t="s">
        <v>2</v>
      </c>
      <c r="E16" s="6" t="s">
        <v>42</v>
      </c>
      <c r="F16" s="6" t="s">
        <v>43</v>
      </c>
      <c r="G16" s="40">
        <v>701</v>
      </c>
      <c r="H16" s="40">
        <v>702</v>
      </c>
      <c r="I16" s="40">
        <v>703</v>
      </c>
      <c r="J16" s="40">
        <v>704</v>
      </c>
      <c r="K16" s="40">
        <v>705</v>
      </c>
      <c r="L16" s="41">
        <v>706</v>
      </c>
      <c r="M16" s="41">
        <v>707</v>
      </c>
      <c r="N16" s="41">
        <v>708</v>
      </c>
      <c r="O16" s="42">
        <v>701</v>
      </c>
      <c r="P16" s="42">
        <v>702</v>
      </c>
      <c r="Q16" s="42">
        <v>703</v>
      </c>
      <c r="R16" s="42">
        <v>704</v>
      </c>
      <c r="S16" s="42">
        <v>705</v>
      </c>
      <c r="T16" s="42">
        <v>706</v>
      </c>
      <c r="U16" s="42">
        <v>707</v>
      </c>
      <c r="V16" s="42">
        <v>708</v>
      </c>
      <c r="W16" s="34" t="s">
        <v>57</v>
      </c>
      <c r="X16" s="36">
        <v>701</v>
      </c>
      <c r="Y16" s="36">
        <v>702</v>
      </c>
      <c r="Z16" s="36">
        <v>703</v>
      </c>
      <c r="AA16" s="36">
        <v>704</v>
      </c>
      <c r="AB16" s="36">
        <v>705</v>
      </c>
      <c r="AC16" s="37">
        <v>706</v>
      </c>
      <c r="AD16" s="37">
        <v>707</v>
      </c>
      <c r="AE16" s="37">
        <v>708</v>
      </c>
      <c r="AF16" s="38">
        <v>701</v>
      </c>
      <c r="AG16" s="38">
        <v>702</v>
      </c>
      <c r="AH16" s="38">
        <v>703</v>
      </c>
      <c r="AI16" s="38">
        <v>704</v>
      </c>
      <c r="AJ16" s="38">
        <v>705</v>
      </c>
      <c r="AK16" s="39">
        <v>706</v>
      </c>
      <c r="AL16" s="39">
        <v>707</v>
      </c>
      <c r="AM16" s="39">
        <v>708</v>
      </c>
    </row>
    <row r="17" spans="1:39" ht="15" customHeight="1" thickTop="1" x14ac:dyDescent="0.25">
      <c r="A17" s="12" t="s">
        <v>16</v>
      </c>
      <c r="B17" s="12">
        <v>1502</v>
      </c>
      <c r="C17" s="3">
        <v>1</v>
      </c>
      <c r="D17" s="3" t="s">
        <v>14</v>
      </c>
      <c r="E17" s="30" t="str">
        <f>RTD("modbusexcel.rtd",,$A17,$C17,IF(E$4="n","D",$D17),E$3,E$5,$D$3,$B17)</f>
        <v>?</v>
      </c>
      <c r="F17" s="30" t="str">
        <f>RTD("modbusexcel.rtd",,$A17,$C17,IF(F$4="n","D",$D17),F$3,F$5,$D$3,$B17)</f>
        <v>?</v>
      </c>
      <c r="G17" s="33" t="str">
        <f>RTD("modbusexcel.rtd",,$A17,$C17,IF(G$4="n","D",$D17),G$3,G$5,$D$3,$B17)</f>
        <v>?</v>
      </c>
      <c r="H17" s="33" t="str">
        <f>RTD("modbusexcel.rtd",,$A17,$C17,IF(H$4="n","D",$D17),H$3,H$5,$D$3,$B17)</f>
        <v>?</v>
      </c>
      <c r="I17" s="33" t="str">
        <f>RTD("modbusexcel.rtd",,$A17,$C17,IF(I$4="n","D",$D17),I$3,I$5,$D$3,$B17)</f>
        <v>?</v>
      </c>
      <c r="J17" s="33" t="str">
        <f>RTD("modbusexcel.rtd",,$A17,$C17,IF(J$4="n","D",$D17),J$3,J$5,$D$3,$B17)</f>
        <v>?</v>
      </c>
      <c r="K17" s="33" t="str">
        <f>RTD("modbusexcel.rtd",,$A17,$C17,IF(K$4="n","D",$D17),K$3,K$5,$D$3,$B17)</f>
        <v>?</v>
      </c>
      <c r="L17" s="33" t="str">
        <f>RTD("modbusexcel.rtd",,$A17,$C17,IF(L$4="n","D",$D17),L$3,L$5,$D$3,$B17)</f>
        <v>?</v>
      </c>
      <c r="M17" s="33" t="str">
        <f>RTD("modbusexcel.rtd",,$A17,$C17,IF(M$4="n","D",$D17),M$3,M$5,$D$3,$B17)</f>
        <v>?</v>
      </c>
      <c r="N17" s="33" t="str">
        <f>RTD("modbusexcel.rtd",,$A17,$C17,IF(N$4="n","D",$D17),N$3,N$5,$D$3,$B17)</f>
        <v>?</v>
      </c>
      <c r="O17" s="43" t="str">
        <f>RTD("modbusexcel.rtd",,$A17,$C17,IF(G$4="n","D",$D17),G$6,$W17,$D$3,$B17)</f>
        <v>?</v>
      </c>
      <c r="P17" s="43" t="str">
        <f>RTD("modbusexcel.rtd",,$A17,$C17,IF(H$4="n","D",$D17),H$6,$W17,$D$3,$B17)</f>
        <v>?</v>
      </c>
      <c r="Q17" s="43" t="str">
        <f>RTD("modbusexcel.rtd",,$A17,$C17,IF(I$4="n","D",$D17),I$6,$W17,$D$3,$B17)</f>
        <v>?</v>
      </c>
      <c r="R17" s="43" t="str">
        <f>RTD("modbusexcel.rtd",,$A17,$C17,IF(J$4="n","D",$D17),J$6,$W17,$D$3,$B17)</f>
        <v>?</v>
      </c>
      <c r="S17" s="43" t="str">
        <f>RTD("modbusexcel.rtd",,$A17,$C17,IF(K$4="n","D",$D17),K$6,$W17,$D$3,$B17)</f>
        <v>?</v>
      </c>
      <c r="T17" s="43" t="str">
        <f>RTD("modbusexcel.rtd",,$A17,$C17,IF(L$4="n","D",$D17),L$6,$W17,$D$3,$B17)</f>
        <v>?</v>
      </c>
      <c r="U17" s="43" t="str">
        <f>RTD("modbusexcel.rtd",,$A17,$C17,IF(M$4="n","D",$D17),M$6,$W17,$D$3,$B17)</f>
        <v>?</v>
      </c>
      <c r="V17" s="43" t="str">
        <f>RTD("modbusexcel.rtd",,$A17,$C17,IF(N$4="n","D",$D17),N$6,$W17,$D$3,$B17)</f>
        <v>?</v>
      </c>
      <c r="W17" s="44">
        <v>1</v>
      </c>
      <c r="X17" s="43" t="e">
        <f>HEX2DEC(MID(G17,1,4)) &amp; ":" &amp; HEX2DEC(MID(G17,5,4)) &amp; "," &amp;
HEX2DEC(MID(G17,9,4)) &amp; ":" &amp; HEX2DEC(MID(G17,13,4)) &amp; "," &amp;
HEX2DEC(MID(G17,17,4)) &amp; ":" &amp; HEX2DEC(MID(G17,21,4)) &amp; "," &amp;
HEX2DEC(MID(G17,25,4)) &amp; ":" &amp; HEX2DEC(MID(G17,29,4)) &amp; "," &amp;
HEX2DEC(MID(G17,33,4)) &amp; ":" &amp; HEX2DEC(MID(G17,37,4)) &amp; "," &amp;
HEX2DEC(MID(G17,41,4)) &amp; ":" &amp; HEX2DEC(MID(G17,45,4)) &amp; "," &amp;
HEX2DEC(MID(G17,49,4)) &amp; ":" &amp; HEX2DEC(MID(G17,53,4)) &amp; "," &amp;
HEX2DEC(MID(G17,57,4)) &amp; ":" &amp; HEX2DEC(MID(G17,61,4)) &amp; "," &amp;
HEX2DEC(MID(G17,65,4)) &amp; ":" &amp; HEX2DEC(MID(G17,69,4)) &amp; "," &amp;
HEX2DEC(MID(G17,73,4)) &amp; ":" &amp; HEX2DEC(MID(G17,77,4)) &amp; "," &amp;
HEX2DEC(MID(G17,81,4)) &amp; ":" &amp; HEX2DEC(MID(G17,85,4)) &amp; "," &amp;
HEX2DEC(MID(G17,89,4)) &amp; ":" &amp; HEX2DEC(MID(G17,93,4)) &amp; "," &amp;
HEX2DEC(MID(G17,97,4)) &amp; ":" &amp; HEX2DEC(MID(G17,101,4)) &amp; "," &amp;
HEX2DEC(MID(G17,105,4)) &amp; ":" &amp; HEX2DEC(MID(G17,109,4)) &amp; "," &amp;
HEX2DEC(MID(G17,113,4)) &amp; ":" &amp; HEX2DEC(MID(G17,117,4)) &amp; "," &amp;
HEX2DEC(MID(G17,121,4)) &amp; ":" &amp; HEX2DEC(MID(G17,125,4))</f>
        <v>#NUM!</v>
      </c>
      <c r="Y17" s="43" t="e">
        <f t="shared" ref="Y17:AE17" si="0">HEX2DEC(MID(H17,1,4)) &amp; ":" &amp; HEX2DEC(MID(H17,5,4)) &amp; "," &amp;
HEX2DEC(MID(H17,9,4)) &amp; ":" &amp; HEX2DEC(MID(H17,13,4)) &amp; "," &amp;
HEX2DEC(MID(H17,17,4)) &amp; ":" &amp; HEX2DEC(MID(H17,21,4)) &amp; "," &amp;
HEX2DEC(MID(H17,25,4)) &amp; ":" &amp; HEX2DEC(MID(H17,29,4)) &amp; "," &amp;
HEX2DEC(MID(H17,33,4)) &amp; ":" &amp; HEX2DEC(MID(H17,37,4)) &amp; "," &amp;
HEX2DEC(MID(H17,41,4)) &amp; ":" &amp; HEX2DEC(MID(H17,45,4)) &amp; "," &amp;
HEX2DEC(MID(H17,49,4)) &amp; ":" &amp; HEX2DEC(MID(H17,53,4)) &amp; "," &amp;
HEX2DEC(MID(H17,57,4)) &amp; ":" &amp; HEX2DEC(MID(H17,61,4)) &amp; "," &amp;
HEX2DEC(MID(H17,65,4)) &amp; ":" &amp; HEX2DEC(MID(H17,69,4)) &amp; "," &amp;
HEX2DEC(MID(H17,73,4)) &amp; ":" &amp; HEX2DEC(MID(H17,77,4)) &amp; "," &amp;
HEX2DEC(MID(H17,81,4)) &amp; ":" &amp; HEX2DEC(MID(H17,85,4)) &amp; "," &amp;
HEX2DEC(MID(H17,89,4)) &amp; ":" &amp; HEX2DEC(MID(H17,93,4)) &amp; "," &amp;
HEX2DEC(MID(H17,97,4)) &amp; ":" &amp; HEX2DEC(MID(H17,101,4)) &amp; "," &amp;
HEX2DEC(MID(H17,105,4)) &amp; ":" &amp; HEX2DEC(MID(H17,109,4)) &amp; "," &amp;
HEX2DEC(MID(H17,113,4)) &amp; ":" &amp; HEX2DEC(MID(H17,117,4)) &amp; "," &amp;
HEX2DEC(MID(H17,121,4)) &amp; ":" &amp; HEX2DEC(MID(H17,125,4))</f>
        <v>#NUM!</v>
      </c>
      <c r="Z17" s="43" t="e">
        <f t="shared" si="0"/>
        <v>#NUM!</v>
      </c>
      <c r="AA17" s="43" t="e">
        <f t="shared" si="0"/>
        <v>#NUM!</v>
      </c>
      <c r="AB17" s="43" t="e">
        <f t="shared" si="0"/>
        <v>#NUM!</v>
      </c>
      <c r="AC17" s="43" t="e">
        <f t="shared" si="0"/>
        <v>#NUM!</v>
      </c>
      <c r="AD17" s="43" t="e">
        <f t="shared" si="0"/>
        <v>#NUM!</v>
      </c>
      <c r="AE17" s="43" t="e">
        <f t="shared" si="0"/>
        <v>#NUM!</v>
      </c>
      <c r="AF17" s="43" t="e">
        <f>"|"&amp;IF(HEX2DEC(MID(G17,1,4  ))=0,"",HEX2DEC(MID(G17,1,4  ))  &amp; "|")&amp;
IF(HEX2DEC(MID(G17,9,4  ))=0,"",HEX2DEC(MID(G17,9,4  ))  &amp; "|")&amp;
IF(HEX2DEC(MID(G17,17,4 ))=0,"",HEX2DEC(MID(G17,17,4 ))  &amp; "|")&amp;
IF(HEX2DEC(MID(G17,25,4 ))=0,"",HEX2DEC(MID(G17,25,4 ))  &amp; "|")&amp;
IF(HEX2DEC(MID(G17,33,4 ))=0,"",HEX2DEC(MID(G17,33,4 ))  &amp; "|")&amp;
IF(HEX2DEC(MID(G17,41,4 ))=0,"",HEX2DEC(MID(G17,41,4 ))  &amp; "|")&amp;
IF(HEX2DEC(MID(G17,49,4 ))=0,"",HEX2DEC(MID(G17,49,4 ))  &amp; "|")&amp;
IF(HEX2DEC(MID(G17,57,4 ))=0,"",HEX2DEC(MID(G17,57,4 ))  &amp; "|")&amp;
IF(HEX2DEC(MID(G17,65,4 ))=0,"",HEX2DEC(MID(G17,65,4 ))  &amp; "|")&amp;
IF(HEX2DEC(MID(G17,73,4 ))=0,"",HEX2DEC(MID(G17,73,4 ))  &amp; "|")&amp;
IF(HEX2DEC(MID(G17,81,4 ))=0,"",HEX2DEC(MID(G17,81,4 ))  &amp; "|")&amp;
IF(HEX2DEC(MID(G17,89,4 ))=0,"",HEX2DEC(MID(G17,89,4 ))  &amp; "|")&amp;
IF(HEX2DEC(MID(G17,97,4 ))=0,"",HEX2DEC(MID(G17,97,4 ))  &amp; "|")&amp;
IF(HEX2DEC(MID(G17,105,4))=0,"",HEX2DEC(MID(G17,105,4))  &amp; "|")&amp;
IF(HEX2DEC(MID(G17,113,4))=0,"",HEX2DEC(MID(G17,113,4))  &amp; "|")&amp;
IF(HEX2DEC(MID(G17,121,4))=0,"",HEX2DEC(MID(G17,121,4))  &amp; "|")</f>
        <v>#NUM!</v>
      </c>
      <c r="AG17" s="44"/>
      <c r="AH17" s="44"/>
      <c r="AI17" s="44"/>
      <c r="AJ17" s="44"/>
      <c r="AK17" s="44"/>
      <c r="AL17" s="44"/>
      <c r="AM17" s="44"/>
    </row>
    <row r="18" spans="1:39" x14ac:dyDescent="0.25">
      <c r="A18" t="s">
        <v>58</v>
      </c>
      <c r="B18" s="35" t="s">
        <v>59</v>
      </c>
    </row>
  </sheetData>
  <mergeCells count="19">
    <mergeCell ref="O14:V14"/>
    <mergeCell ref="A1:B1"/>
    <mergeCell ref="A15:B15"/>
    <mergeCell ref="A3:B3"/>
    <mergeCell ref="A4:B4"/>
    <mergeCell ref="A10:B10"/>
    <mergeCell ref="A13:B13"/>
    <mergeCell ref="A14:B14"/>
    <mergeCell ref="A8:B8"/>
    <mergeCell ref="A6:B6"/>
    <mergeCell ref="A11:B11"/>
    <mergeCell ref="A12:B12"/>
    <mergeCell ref="A7:B7"/>
    <mergeCell ref="A9:B9"/>
    <mergeCell ref="G15:N15"/>
    <mergeCell ref="O15:R15"/>
    <mergeCell ref="S15:V15"/>
    <mergeCell ref="X15:AE15"/>
    <mergeCell ref="AF15:AM15"/>
  </mergeCells>
  <conditionalFormatting sqref="O17:V17 X17:AF17">
    <cfRule type="iconSet" priority="2">
      <iconSet iconSet="3Symbols" reverse="1">
        <cfvo type="percent" val="0"/>
        <cfvo type="num" val="0"/>
        <cfvo type="num" val="1"/>
      </iconSet>
    </cfRule>
  </conditionalFormatting>
  <conditionalFormatting sqref="E17:N17">
    <cfRule type="iconSet" priority="1">
      <iconSet iconSet="3Symbols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B8" sqref="B8"/>
    </sheetView>
  </sheetViews>
  <sheetFormatPr defaultRowHeight="15" x14ac:dyDescent="0.25"/>
  <cols>
    <col min="3" max="3" width="137" bestFit="1" customWidth="1"/>
  </cols>
  <sheetData>
    <row r="1" spans="1:4" s="17" customFormat="1" ht="18.75" x14ac:dyDescent="0.3">
      <c r="A1" s="18" t="s">
        <v>39</v>
      </c>
      <c r="B1" s="18"/>
      <c r="C1" s="18"/>
    </row>
    <row r="2" spans="1:4" x14ac:dyDescent="0.25">
      <c r="A2" s="16">
        <v>16384</v>
      </c>
      <c r="B2" s="21">
        <v>1</v>
      </c>
      <c r="C2" s="4" t="s">
        <v>37</v>
      </c>
      <c r="D2" s="4"/>
    </row>
    <row r="3" spans="1:4" x14ac:dyDescent="0.25">
      <c r="A3" s="16">
        <f>A2/2</f>
        <v>8192</v>
      </c>
      <c r="B3" s="20">
        <v>0</v>
      </c>
      <c r="C3" s="4" t="s">
        <v>17</v>
      </c>
      <c r="D3" s="4"/>
    </row>
    <row r="4" spans="1:4" x14ac:dyDescent="0.25">
      <c r="A4" s="16">
        <f t="shared" ref="A4:A16" si="0">A3/2</f>
        <v>4096</v>
      </c>
      <c r="B4" s="21">
        <v>0</v>
      </c>
      <c r="C4" s="4" t="s">
        <v>38</v>
      </c>
      <c r="D4" s="4"/>
    </row>
    <row r="5" spans="1:4" x14ac:dyDescent="0.25">
      <c r="A5" s="16">
        <f t="shared" si="0"/>
        <v>2048</v>
      </c>
      <c r="B5" s="20">
        <v>0</v>
      </c>
      <c r="C5" s="4" t="s">
        <v>18</v>
      </c>
      <c r="D5" s="4"/>
    </row>
    <row r="6" spans="1:4" x14ac:dyDescent="0.25">
      <c r="A6" s="16">
        <f t="shared" si="0"/>
        <v>1024</v>
      </c>
      <c r="B6" s="20">
        <v>0</v>
      </c>
      <c r="C6" s="4" t="s">
        <v>19</v>
      </c>
      <c r="D6" s="4"/>
    </row>
    <row r="7" spans="1:4" x14ac:dyDescent="0.25">
      <c r="A7" s="16">
        <f t="shared" si="0"/>
        <v>512</v>
      </c>
      <c r="B7" s="21">
        <v>0</v>
      </c>
      <c r="C7" s="4" t="s">
        <v>20</v>
      </c>
      <c r="D7" s="4"/>
    </row>
    <row r="8" spans="1:4" x14ac:dyDescent="0.25">
      <c r="A8" s="16">
        <f t="shared" si="0"/>
        <v>256</v>
      </c>
      <c r="B8" s="20">
        <v>0</v>
      </c>
      <c r="C8" s="4" t="s">
        <v>21</v>
      </c>
      <c r="D8" s="4"/>
    </row>
    <row r="9" spans="1:4" x14ac:dyDescent="0.25">
      <c r="A9" s="16">
        <f t="shared" si="0"/>
        <v>128</v>
      </c>
      <c r="B9" s="20">
        <v>0</v>
      </c>
      <c r="C9" s="4" t="s">
        <v>22</v>
      </c>
      <c r="D9" s="4"/>
    </row>
    <row r="10" spans="1:4" x14ac:dyDescent="0.25">
      <c r="A10" s="16">
        <f t="shared" si="0"/>
        <v>64</v>
      </c>
      <c r="B10" s="20">
        <v>0</v>
      </c>
      <c r="C10" s="4" t="s">
        <v>23</v>
      </c>
      <c r="D10" s="4"/>
    </row>
    <row r="11" spans="1:4" x14ac:dyDescent="0.25">
      <c r="A11" s="16">
        <f t="shared" si="0"/>
        <v>32</v>
      </c>
      <c r="B11" s="20">
        <v>1</v>
      </c>
      <c r="C11" s="4" t="s">
        <v>24</v>
      </c>
      <c r="D11" s="4"/>
    </row>
    <row r="12" spans="1:4" x14ac:dyDescent="0.25">
      <c r="A12" s="16">
        <f t="shared" si="0"/>
        <v>16</v>
      </c>
      <c r="B12" s="20">
        <v>0</v>
      </c>
      <c r="C12" s="4" t="s">
        <v>25</v>
      </c>
      <c r="D12" s="4"/>
    </row>
    <row r="13" spans="1:4" x14ac:dyDescent="0.25">
      <c r="A13" s="16">
        <f t="shared" si="0"/>
        <v>8</v>
      </c>
      <c r="B13" s="20">
        <v>0</v>
      </c>
      <c r="C13" s="4" t="s">
        <v>26</v>
      </c>
      <c r="D13" s="4"/>
    </row>
    <row r="14" spans="1:4" x14ac:dyDescent="0.25">
      <c r="A14" s="16">
        <f t="shared" si="0"/>
        <v>4</v>
      </c>
      <c r="B14" s="20">
        <v>1</v>
      </c>
      <c r="C14" s="4" t="s">
        <v>27</v>
      </c>
      <c r="D14" s="4"/>
    </row>
    <row r="15" spans="1:4" x14ac:dyDescent="0.25">
      <c r="A15" s="16">
        <f t="shared" si="0"/>
        <v>2</v>
      </c>
      <c r="B15" s="20">
        <v>0</v>
      </c>
      <c r="C15" s="4" t="s">
        <v>28</v>
      </c>
      <c r="D15" s="4"/>
    </row>
    <row r="16" spans="1:4" x14ac:dyDescent="0.25">
      <c r="A16" s="16">
        <f t="shared" si="0"/>
        <v>1</v>
      </c>
      <c r="B16" s="20">
        <v>0</v>
      </c>
      <c r="C16" s="4" t="s">
        <v>29</v>
      </c>
      <c r="D16" s="4"/>
    </row>
    <row r="17" spans="1:3" ht="15.75" thickBot="1" x14ac:dyDescent="0.3">
      <c r="A17" s="16">
        <v>0</v>
      </c>
      <c r="B17" s="22">
        <v>0</v>
      </c>
      <c r="C17" s="20" t="s">
        <v>41</v>
      </c>
    </row>
    <row r="18" spans="1:3" ht="15.75" thickBot="1" x14ac:dyDescent="0.3">
      <c r="A18" s="14"/>
      <c r="B18" s="15">
        <f>(B3*A3+B5*A5+B6*A6+B8*A8+B9*A9+B10*A10+B11*A11+B12*A12+B13*A13+B14*A14+B15*A15+B16)*B17+B2*A2+B7*A7+B4*A4</f>
        <v>16384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Polls</vt:lpstr>
      <vt:lpstr>LogLevels</vt:lpstr>
      <vt:lpstr>LogLevel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Selvia, Ken</dc:creator>
  <cp:lastModifiedBy>gotaudio</cp:lastModifiedBy>
  <dcterms:created xsi:type="dcterms:W3CDTF">2006-09-16T00:00:00Z</dcterms:created>
  <dcterms:modified xsi:type="dcterms:W3CDTF">2015-08-10T08:04:38Z</dcterms:modified>
</cp:coreProperties>
</file>